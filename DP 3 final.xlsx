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548e9bfa90edd5/Desktop/"/>
    </mc:Choice>
  </mc:AlternateContent>
  <xr:revisionPtr revIDLastSave="0" documentId="8_{8332DC3B-0350-4FC7-93B0-4F95F4146815}" xr6:coauthVersionLast="47" xr6:coauthVersionMax="47" xr10:uidLastSave="{00000000-0000-0000-0000-000000000000}"/>
  <bookViews>
    <workbookView xWindow="-108" yWindow="-108" windowWidth="23256" windowHeight="12456" activeTab="1" xr2:uid="{EA6086C7-6AFD-407E-B90A-738A1EBB3962}"/>
  </bookViews>
  <sheets>
    <sheet name="Placing Temp" sheetId="1" r:id="rId1"/>
    <sheet name="Adieabatic Temperature Rise" sheetId="2" r:id="rId2"/>
    <sheet name="Single lift" sheetId="3" r:id="rId3"/>
    <sheet name="Two lift" sheetId="4" r:id="rId4"/>
    <sheet name="Stress vs strain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4" i="5" l="1"/>
  <c r="T34" i="5"/>
  <c r="S34" i="5"/>
  <c r="C34" i="5"/>
  <c r="D34" i="5" s="1"/>
  <c r="E34" i="5" s="1"/>
  <c r="G34" i="5" s="1"/>
  <c r="H34" i="5" s="1"/>
  <c r="J34" i="5" s="1"/>
  <c r="U33" i="5"/>
  <c r="T33" i="5"/>
  <c r="S33" i="5"/>
  <c r="C33" i="5"/>
  <c r="D33" i="5" s="1"/>
  <c r="E33" i="5" s="1"/>
  <c r="G33" i="5" s="1"/>
  <c r="H33" i="5" s="1"/>
  <c r="J33" i="5" s="1"/>
  <c r="U32" i="5"/>
  <c r="T32" i="5"/>
  <c r="S32" i="5"/>
  <c r="C32" i="5"/>
  <c r="D32" i="5" s="1"/>
  <c r="E32" i="5" s="1"/>
  <c r="G32" i="5" s="1"/>
  <c r="H32" i="5" s="1"/>
  <c r="J32" i="5" s="1"/>
  <c r="U31" i="5"/>
  <c r="T31" i="5"/>
  <c r="S31" i="5"/>
  <c r="C31" i="5"/>
  <c r="D31" i="5" s="1"/>
  <c r="E31" i="5" s="1"/>
  <c r="G31" i="5" s="1"/>
  <c r="H31" i="5" s="1"/>
  <c r="J31" i="5" s="1"/>
  <c r="U30" i="5"/>
  <c r="T30" i="5"/>
  <c r="S30" i="5"/>
  <c r="C30" i="5"/>
  <c r="D30" i="5" s="1"/>
  <c r="E30" i="5" s="1"/>
  <c r="G30" i="5" s="1"/>
  <c r="H30" i="5" s="1"/>
  <c r="J30" i="5" s="1"/>
  <c r="U29" i="5"/>
  <c r="T29" i="5"/>
  <c r="S29" i="5"/>
  <c r="D29" i="5"/>
  <c r="E29" i="5" s="1"/>
  <c r="G29" i="5" s="1"/>
  <c r="H29" i="5" s="1"/>
  <c r="J29" i="5" s="1"/>
  <c r="C29" i="5"/>
  <c r="U28" i="5"/>
  <c r="T28" i="5"/>
  <c r="S28" i="5"/>
  <c r="E28" i="5"/>
  <c r="G28" i="5" s="1"/>
  <c r="H28" i="5" s="1"/>
  <c r="J28" i="5" s="1"/>
  <c r="D28" i="5"/>
  <c r="C28" i="5"/>
  <c r="U27" i="5"/>
  <c r="T27" i="5"/>
  <c r="S27" i="5"/>
  <c r="C27" i="5"/>
  <c r="D27" i="5" s="1"/>
  <c r="E27" i="5" s="1"/>
  <c r="G27" i="5" s="1"/>
  <c r="H27" i="5" s="1"/>
  <c r="J27" i="5" s="1"/>
  <c r="U26" i="5"/>
  <c r="T26" i="5"/>
  <c r="S26" i="5"/>
  <c r="C26" i="5"/>
  <c r="D26" i="5" s="1"/>
  <c r="E26" i="5" s="1"/>
  <c r="G26" i="5" s="1"/>
  <c r="H26" i="5" s="1"/>
  <c r="J26" i="5" s="1"/>
  <c r="U25" i="5"/>
  <c r="T25" i="5"/>
  <c r="S25" i="5"/>
  <c r="C25" i="5"/>
  <c r="D25" i="5" s="1"/>
  <c r="E25" i="5" s="1"/>
  <c r="G25" i="5" s="1"/>
  <c r="H25" i="5" s="1"/>
  <c r="J25" i="5" s="1"/>
  <c r="U24" i="5"/>
  <c r="T24" i="5"/>
  <c r="S24" i="5"/>
  <c r="C24" i="5"/>
  <c r="D24" i="5" s="1"/>
  <c r="E24" i="5" s="1"/>
  <c r="G24" i="5" s="1"/>
  <c r="H24" i="5" s="1"/>
  <c r="J24" i="5" s="1"/>
  <c r="U23" i="5"/>
  <c r="T23" i="5"/>
  <c r="S23" i="5"/>
  <c r="C23" i="5"/>
  <c r="D23" i="5" s="1"/>
  <c r="E23" i="5" s="1"/>
  <c r="G23" i="5" s="1"/>
  <c r="H23" i="5" s="1"/>
  <c r="J23" i="5" s="1"/>
  <c r="U22" i="5"/>
  <c r="T22" i="5"/>
  <c r="S22" i="5"/>
  <c r="D22" i="5"/>
  <c r="E22" i="5" s="1"/>
  <c r="G22" i="5" s="1"/>
  <c r="H22" i="5" s="1"/>
  <c r="J22" i="5" s="1"/>
  <c r="C22" i="5"/>
  <c r="U21" i="5"/>
  <c r="T21" i="5"/>
  <c r="S21" i="5"/>
  <c r="D21" i="5"/>
  <c r="E21" i="5" s="1"/>
  <c r="G21" i="5" s="1"/>
  <c r="H21" i="5" s="1"/>
  <c r="J21" i="5" s="1"/>
  <c r="C21" i="5"/>
  <c r="U20" i="5"/>
  <c r="T20" i="5"/>
  <c r="S20" i="5"/>
  <c r="E20" i="5"/>
  <c r="G20" i="5" s="1"/>
  <c r="H20" i="5" s="1"/>
  <c r="J20" i="5" s="1"/>
  <c r="D20" i="5"/>
  <c r="C20" i="5"/>
  <c r="U19" i="5"/>
  <c r="T19" i="5"/>
  <c r="S19" i="5"/>
  <c r="C19" i="5"/>
  <c r="D19" i="5" s="1"/>
  <c r="E19" i="5" s="1"/>
  <c r="G19" i="5" s="1"/>
  <c r="H19" i="5" s="1"/>
  <c r="J19" i="5" s="1"/>
  <c r="U18" i="5"/>
  <c r="T18" i="5"/>
  <c r="S18" i="5"/>
  <c r="C18" i="5"/>
  <c r="D18" i="5" s="1"/>
  <c r="E18" i="5" s="1"/>
  <c r="G18" i="5" s="1"/>
  <c r="H18" i="5" s="1"/>
  <c r="J18" i="5" s="1"/>
  <c r="U17" i="5"/>
  <c r="T17" i="5"/>
  <c r="S17" i="5"/>
  <c r="C17" i="5"/>
  <c r="D17" i="5" s="1"/>
  <c r="E17" i="5" s="1"/>
  <c r="G17" i="5" s="1"/>
  <c r="H17" i="5" s="1"/>
  <c r="J17" i="5" s="1"/>
  <c r="U16" i="5"/>
  <c r="T16" i="5"/>
  <c r="S16" i="5"/>
  <c r="C16" i="5"/>
  <c r="D16" i="5" s="1"/>
  <c r="E16" i="5" s="1"/>
  <c r="G16" i="5" s="1"/>
  <c r="H16" i="5" s="1"/>
  <c r="J16" i="5" s="1"/>
  <c r="U15" i="5"/>
  <c r="T15" i="5"/>
  <c r="S15" i="5"/>
  <c r="C15" i="5"/>
  <c r="D15" i="5" s="1"/>
  <c r="E15" i="5" s="1"/>
  <c r="G15" i="5" s="1"/>
  <c r="H15" i="5" s="1"/>
  <c r="J15" i="5" s="1"/>
  <c r="U14" i="5"/>
  <c r="T14" i="5"/>
  <c r="S14" i="5"/>
  <c r="D14" i="5"/>
  <c r="E14" i="5" s="1"/>
  <c r="G14" i="5" s="1"/>
  <c r="H14" i="5" s="1"/>
  <c r="J14" i="5" s="1"/>
  <c r="C14" i="5"/>
  <c r="U13" i="5"/>
  <c r="T13" i="5"/>
  <c r="S13" i="5"/>
  <c r="D13" i="5"/>
  <c r="E13" i="5" s="1"/>
  <c r="G13" i="5" s="1"/>
  <c r="H13" i="5" s="1"/>
  <c r="J13" i="5" s="1"/>
  <c r="C13" i="5"/>
  <c r="U12" i="5"/>
  <c r="T12" i="5"/>
  <c r="S12" i="5"/>
  <c r="E12" i="5"/>
  <c r="G12" i="5" s="1"/>
  <c r="H12" i="5" s="1"/>
  <c r="J12" i="5" s="1"/>
  <c r="D12" i="5"/>
  <c r="C12" i="5"/>
  <c r="U11" i="5"/>
  <c r="T11" i="5"/>
  <c r="S11" i="5"/>
  <c r="C11" i="5"/>
  <c r="D11" i="5" s="1"/>
  <c r="E11" i="5" s="1"/>
  <c r="G11" i="5" s="1"/>
  <c r="H11" i="5" s="1"/>
  <c r="J11" i="5" s="1"/>
  <c r="U10" i="5"/>
  <c r="T10" i="5"/>
  <c r="S10" i="5"/>
  <c r="C10" i="5"/>
  <c r="D10" i="5" s="1"/>
  <c r="E10" i="5" s="1"/>
  <c r="G10" i="5" s="1"/>
  <c r="H10" i="5" s="1"/>
  <c r="J10" i="5" s="1"/>
  <c r="U9" i="5"/>
  <c r="T9" i="5"/>
  <c r="S9" i="5"/>
  <c r="C9" i="5"/>
  <c r="D9" i="5" s="1"/>
  <c r="E9" i="5" s="1"/>
  <c r="G9" i="5" s="1"/>
  <c r="H9" i="5" s="1"/>
  <c r="J9" i="5" s="1"/>
  <c r="T8" i="5"/>
  <c r="S8" i="5"/>
  <c r="D8" i="5"/>
  <c r="E8" i="5" s="1"/>
  <c r="G8" i="5" s="1"/>
  <c r="H8" i="5" s="1"/>
  <c r="J8" i="5" s="1"/>
  <c r="C8" i="5"/>
  <c r="T7" i="5"/>
  <c r="S7" i="5"/>
  <c r="D7" i="5"/>
  <c r="E7" i="5" s="1"/>
  <c r="G7" i="5" s="1"/>
  <c r="H7" i="5" s="1"/>
  <c r="J7" i="5" s="1"/>
  <c r="C7" i="5"/>
  <c r="C149" i="4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46" i="4"/>
  <c r="C147" i="4" s="1"/>
  <c r="C148" i="4" s="1"/>
  <c r="E145" i="4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C145" i="4"/>
  <c r="E127" i="4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BP116" i="4"/>
  <c r="BO116" i="4"/>
  <c r="BO115" i="4"/>
  <c r="BP115" i="4" s="1"/>
  <c r="BO114" i="4"/>
  <c r="BP114" i="4" s="1"/>
  <c r="BP113" i="4"/>
  <c r="BO113" i="4"/>
  <c r="BP112" i="4"/>
  <c r="BO112" i="4"/>
  <c r="BO111" i="4"/>
  <c r="BP111" i="4" s="1"/>
  <c r="BP110" i="4"/>
  <c r="BO109" i="4"/>
  <c r="BP109" i="4" s="1"/>
  <c r="BO108" i="4"/>
  <c r="BP108" i="4" s="1"/>
  <c r="E108" i="4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BO107" i="4"/>
  <c r="BP107" i="4" s="1"/>
  <c r="E107" i="4"/>
  <c r="BO106" i="4"/>
  <c r="BP106" i="4" s="1"/>
  <c r="E106" i="4"/>
  <c r="C106" i="4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BO105" i="4"/>
  <c r="BP105" i="4" s="1"/>
  <c r="E105" i="4"/>
  <c r="C105" i="4"/>
  <c r="BO104" i="4"/>
  <c r="BP104" i="4" s="1"/>
  <c r="BP103" i="4"/>
  <c r="BP102" i="4"/>
  <c r="BO102" i="4"/>
  <c r="BP101" i="4"/>
  <c r="BO101" i="4"/>
  <c r="BP100" i="4"/>
  <c r="BO100" i="4"/>
  <c r="BO99" i="4"/>
  <c r="BP99" i="4" s="1"/>
  <c r="BO98" i="4"/>
  <c r="BP98" i="4" s="1"/>
  <c r="F98" i="4"/>
  <c r="BO97" i="4"/>
  <c r="BP97" i="4" s="1"/>
  <c r="BP96" i="4"/>
  <c r="BP95" i="4"/>
  <c r="BO95" i="4"/>
  <c r="BO94" i="4"/>
  <c r="BP94" i="4" s="1"/>
  <c r="BO93" i="4"/>
  <c r="BP93" i="4" s="1"/>
  <c r="BO92" i="4"/>
  <c r="BP92" i="4" s="1"/>
  <c r="F92" i="4"/>
  <c r="BO91" i="4"/>
  <c r="BP91" i="4" s="1"/>
  <c r="BO90" i="4"/>
  <c r="BP90" i="4" s="1"/>
  <c r="BP89" i="4"/>
  <c r="I89" i="4"/>
  <c r="F95" i="4" s="1"/>
  <c r="H84" i="4"/>
  <c r="I84" i="4" s="1"/>
  <c r="J83" i="4" s="1"/>
  <c r="K83" i="4" s="1"/>
  <c r="H83" i="4"/>
  <c r="I83" i="4" s="1"/>
  <c r="J84" i="4" s="1"/>
  <c r="K84" i="4" s="1"/>
  <c r="J82" i="4"/>
  <c r="K82" i="4" s="1"/>
  <c r="L81" i="4" s="1"/>
  <c r="H82" i="4"/>
  <c r="I82" i="4" s="1"/>
  <c r="J81" i="4" s="1"/>
  <c r="K81" i="4" s="1"/>
  <c r="M81" i="4"/>
  <c r="H81" i="4"/>
  <c r="I81" i="4" s="1"/>
  <c r="L80" i="4"/>
  <c r="M80" i="4" s="1"/>
  <c r="J80" i="4"/>
  <c r="K80" i="4" s="1"/>
  <c r="H80" i="4"/>
  <c r="I80" i="4" s="1"/>
  <c r="J79" i="4"/>
  <c r="K79" i="4" s="1"/>
  <c r="I79" i="4"/>
  <c r="H79" i="4"/>
  <c r="I78" i="4"/>
  <c r="H78" i="4"/>
  <c r="K77" i="4"/>
  <c r="J77" i="4"/>
  <c r="I77" i="4"/>
  <c r="J76" i="4" s="1"/>
  <c r="H77" i="4"/>
  <c r="K76" i="4"/>
  <c r="L75" i="4" s="1"/>
  <c r="M75" i="4" s="1"/>
  <c r="I76" i="4"/>
  <c r="H76" i="4"/>
  <c r="J75" i="4"/>
  <c r="K75" i="4" s="1"/>
  <c r="I75" i="4"/>
  <c r="H75" i="4"/>
  <c r="J74" i="4"/>
  <c r="K74" i="4" s="1"/>
  <c r="I74" i="4"/>
  <c r="H74" i="4"/>
  <c r="H73" i="4"/>
  <c r="I73" i="4" s="1"/>
  <c r="I72" i="4"/>
  <c r="H72" i="4"/>
  <c r="J71" i="4"/>
  <c r="K71" i="4" s="1"/>
  <c r="I71" i="4"/>
  <c r="H71" i="4"/>
  <c r="I70" i="4"/>
  <c r="H70" i="4"/>
  <c r="H69" i="4"/>
  <c r="I69" i="4" s="1"/>
  <c r="H68" i="4"/>
  <c r="I68" i="4" s="1"/>
  <c r="H67" i="4"/>
  <c r="I67" i="4" s="1"/>
  <c r="J66" i="4" s="1"/>
  <c r="K66" i="4" s="1"/>
  <c r="L65" i="4" s="1"/>
  <c r="M65" i="4" s="1"/>
  <c r="H66" i="4"/>
  <c r="I66" i="4" s="1"/>
  <c r="H65" i="4"/>
  <c r="I65" i="4" s="1"/>
  <c r="J64" i="4" s="1"/>
  <c r="K64" i="4" s="1"/>
  <c r="I64" i="4"/>
  <c r="H64" i="4"/>
  <c r="H63" i="4"/>
  <c r="I63" i="4" s="1"/>
  <c r="J62" i="4"/>
  <c r="K62" i="4" s="1"/>
  <c r="I62" i="4"/>
  <c r="H62" i="4"/>
  <c r="H61" i="4"/>
  <c r="I61" i="4" s="1"/>
  <c r="H60" i="4"/>
  <c r="I60" i="4" s="1"/>
  <c r="J59" i="4" s="1"/>
  <c r="K59" i="4" s="1"/>
  <c r="H59" i="4"/>
  <c r="I59" i="4" s="1"/>
  <c r="J58" i="4"/>
  <c r="K58" i="4" s="1"/>
  <c r="I58" i="4"/>
  <c r="H58" i="4"/>
  <c r="H57" i="4"/>
  <c r="I57" i="4" s="1"/>
  <c r="H56" i="4"/>
  <c r="I56" i="4" s="1"/>
  <c r="H55" i="4"/>
  <c r="I55" i="4" s="1"/>
  <c r="H54" i="4"/>
  <c r="I54" i="4" s="1"/>
  <c r="J53" i="4" s="1"/>
  <c r="K53" i="4" s="1"/>
  <c r="L52" i="4" s="1"/>
  <c r="M52" i="4" s="1"/>
  <c r="I53" i="4"/>
  <c r="J52" i="4" s="1"/>
  <c r="K52" i="4" s="1"/>
  <c r="H53" i="4"/>
  <c r="I52" i="4"/>
  <c r="J51" i="4" s="1"/>
  <c r="K51" i="4" s="1"/>
  <c r="H52" i="4"/>
  <c r="I51" i="4"/>
  <c r="H51" i="4"/>
  <c r="I50" i="4"/>
  <c r="H50" i="4"/>
  <c r="I49" i="4"/>
  <c r="J50" i="4" s="1"/>
  <c r="K50" i="4" s="1"/>
  <c r="H49" i="4"/>
  <c r="J48" i="4"/>
  <c r="K48" i="4" s="1"/>
  <c r="H48" i="4"/>
  <c r="I48" i="4" s="1"/>
  <c r="J47" i="4" s="1"/>
  <c r="K47" i="4" s="1"/>
  <c r="E48" i="4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C48" i="4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I47" i="4"/>
  <c r="H47" i="4"/>
  <c r="E47" i="4"/>
  <c r="I46" i="4"/>
  <c r="H46" i="4"/>
  <c r="E46" i="4"/>
  <c r="C46" i="4"/>
  <c r="C47" i="4" s="1"/>
  <c r="G34" i="4"/>
  <c r="G29" i="4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6" i="4"/>
  <c r="C6" i="4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BI4" i="4"/>
  <c r="BE4" i="4"/>
  <c r="AW4" i="4"/>
  <c r="AU4" i="4"/>
  <c r="AQ4" i="4"/>
  <c r="S4" i="4"/>
  <c r="S103" i="4" s="1"/>
  <c r="Q4" i="4"/>
  <c r="Q103" i="4" s="1"/>
  <c r="O4" i="4"/>
  <c r="O103" i="4" s="1"/>
  <c r="M4" i="4"/>
  <c r="M103" i="4" s="1"/>
  <c r="K4" i="4"/>
  <c r="BI3" i="4"/>
  <c r="BI102" i="4" s="1"/>
  <c r="BG3" i="4"/>
  <c r="BG102" i="4" s="1"/>
  <c r="BE3" i="4"/>
  <c r="BE102" i="4" s="1"/>
  <c r="BI103" i="4" s="1"/>
  <c r="BC3" i="4"/>
  <c r="BC102" i="4" s="1"/>
  <c r="BG103" i="4" s="1"/>
  <c r="BA3" i="4"/>
  <c r="BA102" i="4" s="1"/>
  <c r="BE103" i="4" s="1"/>
  <c r="AY3" i="4"/>
  <c r="AY102" i="4" s="1"/>
  <c r="BC103" i="4" s="1"/>
  <c r="AW3" i="4"/>
  <c r="AW102" i="4" s="1"/>
  <c r="BA103" i="4" s="1"/>
  <c r="AU3" i="4"/>
  <c r="AU102" i="4" s="1"/>
  <c r="AY103" i="4" s="1"/>
  <c r="AS3" i="4"/>
  <c r="AS102" i="4" s="1"/>
  <c r="AW103" i="4" s="1"/>
  <c r="AQ3" i="4"/>
  <c r="AQ102" i="4" s="1"/>
  <c r="AU103" i="4" s="1"/>
  <c r="AO3" i="4"/>
  <c r="AO102" i="4" s="1"/>
  <c r="AS103" i="4" s="1"/>
  <c r="AM3" i="4"/>
  <c r="AM102" i="4" s="1"/>
  <c r="AQ103" i="4" s="1"/>
  <c r="AK3" i="4"/>
  <c r="AK102" i="4" s="1"/>
  <c r="AO103" i="4" s="1"/>
  <c r="AI3" i="4"/>
  <c r="AI102" i="4" s="1"/>
  <c r="AM103" i="4" s="1"/>
  <c r="AG3" i="4"/>
  <c r="AG102" i="4" s="1"/>
  <c r="AK103" i="4" s="1"/>
  <c r="AE3" i="4"/>
  <c r="AE102" i="4" s="1"/>
  <c r="AI103" i="4" s="1"/>
  <c r="AC3" i="4"/>
  <c r="AC102" i="4" s="1"/>
  <c r="AG103" i="4" s="1"/>
  <c r="AA3" i="4"/>
  <c r="AA102" i="4" s="1"/>
  <c r="AE103" i="4" s="1"/>
  <c r="Y3" i="4"/>
  <c r="Y102" i="4" s="1"/>
  <c r="AC103" i="4" s="1"/>
  <c r="W3" i="4"/>
  <c r="W102" i="4" s="1"/>
  <c r="AA103" i="4" s="1"/>
  <c r="U3" i="4"/>
  <c r="U102" i="4" s="1"/>
  <c r="Y103" i="4" s="1"/>
  <c r="S3" i="4"/>
  <c r="S102" i="4" s="1"/>
  <c r="W103" i="4" s="1"/>
  <c r="Q3" i="4"/>
  <c r="Q102" i="4" s="1"/>
  <c r="U103" i="4" s="1"/>
  <c r="O3" i="4"/>
  <c r="O102" i="4" s="1"/>
  <c r="M3" i="4"/>
  <c r="M102" i="4" s="1"/>
  <c r="K3" i="4"/>
  <c r="K102" i="4" s="1"/>
  <c r="I3" i="4"/>
  <c r="I102" i="4" s="1"/>
  <c r="G3" i="4"/>
  <c r="G40" i="4" s="1"/>
  <c r="D145" i="3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BO116" i="3"/>
  <c r="BN116" i="3"/>
  <c r="BN115" i="3"/>
  <c r="BO115" i="3" s="1"/>
  <c r="BO114" i="3"/>
  <c r="BN114" i="3"/>
  <c r="BO113" i="3"/>
  <c r="BN113" i="3"/>
  <c r="BN112" i="3"/>
  <c r="BO112" i="3" s="1"/>
  <c r="BO111" i="3"/>
  <c r="BN111" i="3"/>
  <c r="BO110" i="3"/>
  <c r="BO109" i="3"/>
  <c r="BN109" i="3"/>
  <c r="BN108" i="3"/>
  <c r="BO108" i="3" s="1"/>
  <c r="BN107" i="3"/>
  <c r="BO107" i="3" s="1"/>
  <c r="BN106" i="3"/>
  <c r="BO106" i="3" s="1"/>
  <c r="D106" i="3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BN105" i="3"/>
  <c r="BO105" i="3" s="1"/>
  <c r="D105" i="3"/>
  <c r="BN104" i="3"/>
  <c r="BO104" i="3" s="1"/>
  <c r="AF104" i="3"/>
  <c r="AB104" i="3"/>
  <c r="BO103" i="3"/>
  <c r="BN102" i="3"/>
  <c r="BO102" i="3" s="1"/>
  <c r="BN101" i="3"/>
  <c r="BO101" i="3" s="1"/>
  <c r="BN100" i="3"/>
  <c r="BO100" i="3" s="1"/>
  <c r="BN99" i="3"/>
  <c r="BO99" i="3" s="1"/>
  <c r="BN98" i="3"/>
  <c r="BO98" i="3" s="1"/>
  <c r="E98" i="3"/>
  <c r="BO97" i="3"/>
  <c r="BN97" i="3"/>
  <c r="BO96" i="3"/>
  <c r="E96" i="3"/>
  <c r="BO95" i="3"/>
  <c r="BN95" i="3"/>
  <c r="E95" i="3"/>
  <c r="BO94" i="3"/>
  <c r="BN94" i="3"/>
  <c r="BO93" i="3"/>
  <c r="BN93" i="3"/>
  <c r="E93" i="3"/>
  <c r="BN92" i="3"/>
  <c r="BO92" i="3" s="1"/>
  <c r="E92" i="3"/>
  <c r="BO91" i="3"/>
  <c r="BN91" i="3"/>
  <c r="BN90" i="3"/>
  <c r="BO90" i="3" s="1"/>
  <c r="BO89" i="3"/>
  <c r="H89" i="3"/>
  <c r="K84" i="3"/>
  <c r="L84" i="3" s="1"/>
  <c r="G84" i="3"/>
  <c r="H84" i="3" s="1"/>
  <c r="I83" i="3" s="1"/>
  <c r="J83" i="3" s="1"/>
  <c r="G83" i="3"/>
  <c r="H83" i="3" s="1"/>
  <c r="H82" i="3"/>
  <c r="G82" i="3"/>
  <c r="J81" i="3"/>
  <c r="I81" i="3"/>
  <c r="H81" i="3"/>
  <c r="I80" i="3" s="1"/>
  <c r="J80" i="3" s="1"/>
  <c r="G81" i="3"/>
  <c r="G80" i="3"/>
  <c r="H80" i="3" s="1"/>
  <c r="G79" i="3"/>
  <c r="H79" i="3" s="1"/>
  <c r="G78" i="3"/>
  <c r="H78" i="3" s="1"/>
  <c r="G77" i="3"/>
  <c r="H77" i="3" s="1"/>
  <c r="I76" i="3" s="1"/>
  <c r="J76" i="3" s="1"/>
  <c r="G76" i="3"/>
  <c r="H76" i="3" s="1"/>
  <c r="H75" i="3"/>
  <c r="G75" i="3"/>
  <c r="G74" i="3"/>
  <c r="H74" i="3" s="1"/>
  <c r="G73" i="3"/>
  <c r="H73" i="3" s="1"/>
  <c r="I72" i="3" s="1"/>
  <c r="J72" i="3" s="1"/>
  <c r="H72" i="3"/>
  <c r="I71" i="3" s="1"/>
  <c r="J71" i="3" s="1"/>
  <c r="G72" i="3"/>
  <c r="G71" i="3"/>
  <c r="H71" i="3" s="1"/>
  <c r="H70" i="3"/>
  <c r="G70" i="3"/>
  <c r="I69" i="3"/>
  <c r="J69" i="3" s="1"/>
  <c r="G69" i="3"/>
  <c r="H69" i="3" s="1"/>
  <c r="G68" i="3"/>
  <c r="H68" i="3" s="1"/>
  <c r="G67" i="3"/>
  <c r="H67" i="3" s="1"/>
  <c r="H66" i="3"/>
  <c r="G66" i="3"/>
  <c r="H65" i="3"/>
  <c r="G65" i="3"/>
  <c r="H64" i="3"/>
  <c r="G64" i="3"/>
  <c r="I63" i="3"/>
  <c r="J63" i="3" s="1"/>
  <c r="G63" i="3"/>
  <c r="H63" i="3" s="1"/>
  <c r="I62" i="3" s="1"/>
  <c r="J62" i="3" s="1"/>
  <c r="G62" i="3"/>
  <c r="H62" i="3" s="1"/>
  <c r="G61" i="3"/>
  <c r="H61" i="3" s="1"/>
  <c r="G60" i="3"/>
  <c r="H60" i="3" s="1"/>
  <c r="G59" i="3"/>
  <c r="H59" i="3" s="1"/>
  <c r="I58" i="3" s="1"/>
  <c r="J58" i="3" s="1"/>
  <c r="K57" i="3" s="1"/>
  <c r="L57" i="3" s="1"/>
  <c r="G58" i="3"/>
  <c r="H58" i="3" s="1"/>
  <c r="G57" i="3"/>
  <c r="H57" i="3" s="1"/>
  <c r="I56" i="3" s="1"/>
  <c r="J56" i="3" s="1"/>
  <c r="G56" i="3"/>
  <c r="H56" i="3" s="1"/>
  <c r="I55" i="3" s="1"/>
  <c r="J55" i="3" s="1"/>
  <c r="G55" i="3"/>
  <c r="H55" i="3" s="1"/>
  <c r="H54" i="3"/>
  <c r="G54" i="3"/>
  <c r="I53" i="3"/>
  <c r="J53" i="3" s="1"/>
  <c r="K52" i="3" s="1"/>
  <c r="L52" i="3" s="1"/>
  <c r="G53" i="3"/>
  <c r="H53" i="3" s="1"/>
  <c r="H52" i="3"/>
  <c r="I51" i="3" s="1"/>
  <c r="G52" i="3"/>
  <c r="J51" i="3"/>
  <c r="G51" i="3"/>
  <c r="H51" i="3" s="1"/>
  <c r="I50" i="3" s="1"/>
  <c r="J50" i="3" s="1"/>
  <c r="K49" i="3" s="1"/>
  <c r="L49" i="3" s="1"/>
  <c r="H50" i="3"/>
  <c r="G50" i="3"/>
  <c r="H49" i="3"/>
  <c r="G49" i="3"/>
  <c r="J48" i="3"/>
  <c r="I48" i="3"/>
  <c r="G48" i="3"/>
  <c r="H48" i="3" s="1"/>
  <c r="I47" i="3" s="1"/>
  <c r="J47" i="3" s="1"/>
  <c r="H47" i="3"/>
  <c r="G47" i="3"/>
  <c r="H46" i="3"/>
  <c r="G46" i="3"/>
  <c r="D46" i="3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F31" i="3"/>
  <c r="F11" i="3"/>
  <c r="F9" i="3"/>
  <c r="G10" i="3" s="1"/>
  <c r="H10" i="3" s="1"/>
  <c r="F7" i="3"/>
  <c r="G8" i="3" s="1"/>
  <c r="H8" i="3" s="1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BG4" i="3"/>
  <c r="BE4" i="3"/>
  <c r="BC4" i="3"/>
  <c r="BA4" i="3"/>
  <c r="AY4" i="3"/>
  <c r="AW4" i="3"/>
  <c r="AU4" i="3"/>
  <c r="AS4" i="3"/>
  <c r="AQ4" i="3"/>
  <c r="AP4" i="3"/>
  <c r="AO4" i="3"/>
  <c r="AM4" i="3"/>
  <c r="AL4" i="3"/>
  <c r="AK4" i="3"/>
  <c r="AI4" i="3"/>
  <c r="AG4" i="3"/>
  <c r="AE4" i="3"/>
  <c r="AC4" i="3"/>
  <c r="AA4" i="3"/>
  <c r="Y4" i="3"/>
  <c r="W4" i="3"/>
  <c r="U4" i="3"/>
  <c r="S4" i="3"/>
  <c r="Q4" i="3"/>
  <c r="O4" i="3"/>
  <c r="M4" i="3"/>
  <c r="K4" i="3"/>
  <c r="J4" i="3"/>
  <c r="J103" i="3" s="1"/>
  <c r="BH3" i="3"/>
  <c r="BH102" i="3" s="1"/>
  <c r="BF3" i="3"/>
  <c r="BF102" i="3" s="1"/>
  <c r="BD3" i="3"/>
  <c r="BD102" i="3" s="1"/>
  <c r="BH103" i="3" s="1"/>
  <c r="BB3" i="3"/>
  <c r="BB102" i="3" s="1"/>
  <c r="BF103" i="3" s="1"/>
  <c r="AZ3" i="3"/>
  <c r="AZ102" i="3" s="1"/>
  <c r="BD103" i="3" s="1"/>
  <c r="AX3" i="3"/>
  <c r="AX102" i="3" s="1"/>
  <c r="BB103" i="3" s="1"/>
  <c r="AV3" i="3"/>
  <c r="AV102" i="3" s="1"/>
  <c r="AZ103" i="3" s="1"/>
  <c r="AT3" i="3"/>
  <c r="AT102" i="3" s="1"/>
  <c r="AX103" i="3" s="1"/>
  <c r="AR3" i="3"/>
  <c r="AR102" i="3" s="1"/>
  <c r="AV103" i="3" s="1"/>
  <c r="AP3" i="3"/>
  <c r="AP102" i="3" s="1"/>
  <c r="AT103" i="3" s="1"/>
  <c r="AN3" i="3"/>
  <c r="AN102" i="3" s="1"/>
  <c r="AR103" i="3" s="1"/>
  <c r="AL3" i="3"/>
  <c r="AL102" i="3" s="1"/>
  <c r="AP103" i="3" s="1"/>
  <c r="AJ3" i="3"/>
  <c r="AJ102" i="3" s="1"/>
  <c r="AN103" i="3" s="1"/>
  <c r="AH3" i="3"/>
  <c r="AH102" i="3" s="1"/>
  <c r="AL103" i="3" s="1"/>
  <c r="AF3" i="3"/>
  <c r="AF102" i="3" s="1"/>
  <c r="AJ103" i="3" s="1"/>
  <c r="AD3" i="3"/>
  <c r="AD102" i="3" s="1"/>
  <c r="AH103" i="3" s="1"/>
  <c r="AB3" i="3"/>
  <c r="AB102" i="3" s="1"/>
  <c r="AF103" i="3" s="1"/>
  <c r="Z3" i="3"/>
  <c r="Z102" i="3" s="1"/>
  <c r="AD103" i="3" s="1"/>
  <c r="X3" i="3"/>
  <c r="X102" i="3" s="1"/>
  <c r="AB103" i="3" s="1"/>
  <c r="V3" i="3"/>
  <c r="V102" i="3" s="1"/>
  <c r="Z103" i="3" s="1"/>
  <c r="T3" i="3"/>
  <c r="T102" i="3" s="1"/>
  <c r="X103" i="3" s="1"/>
  <c r="R3" i="3"/>
  <c r="R102" i="3" s="1"/>
  <c r="V103" i="3" s="1"/>
  <c r="P3" i="3"/>
  <c r="P102" i="3" s="1"/>
  <c r="T103" i="3" s="1"/>
  <c r="N3" i="3"/>
  <c r="N102" i="3" s="1"/>
  <c r="L3" i="3"/>
  <c r="L102" i="3" s="1"/>
  <c r="J3" i="3"/>
  <c r="J102" i="3" s="1"/>
  <c r="H3" i="3"/>
  <c r="H102" i="3" s="1"/>
  <c r="F3" i="3"/>
  <c r="F20" i="3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H14" i="1"/>
  <c r="E14" i="1"/>
  <c r="I14" i="1" s="1"/>
  <c r="H13" i="1"/>
  <c r="E13" i="1"/>
  <c r="I13" i="1" s="1"/>
  <c r="I12" i="1"/>
  <c r="H12" i="1"/>
  <c r="E12" i="1"/>
  <c r="H11" i="1"/>
  <c r="E11" i="1"/>
  <c r="I11" i="1" s="1"/>
  <c r="H10" i="1"/>
  <c r="E10" i="1"/>
  <c r="I10" i="1" s="1"/>
  <c r="H9" i="1"/>
  <c r="E9" i="1"/>
  <c r="I9" i="1" s="1"/>
  <c r="H8" i="1"/>
  <c r="E8" i="1"/>
  <c r="I8" i="1" s="1"/>
  <c r="H7" i="1"/>
  <c r="E7" i="1"/>
  <c r="I7" i="1" s="1"/>
  <c r="I6" i="1"/>
  <c r="H6" i="1"/>
  <c r="E6" i="1"/>
  <c r="H5" i="1"/>
  <c r="E5" i="1"/>
  <c r="E15" i="1" s="1"/>
  <c r="AK4" i="4" l="1"/>
  <c r="AY4" i="4"/>
  <c r="N4" i="3"/>
  <c r="N103" i="3" s="1"/>
  <c r="Y4" i="4"/>
  <c r="G35" i="4"/>
  <c r="AC4" i="4"/>
  <c r="AT4" i="3"/>
  <c r="AE4" i="4"/>
  <c r="K31" i="5"/>
  <c r="L31" i="5" s="1"/>
  <c r="M31" i="5"/>
  <c r="N31" i="5" s="1"/>
  <c r="P31" i="5" s="1"/>
  <c r="M17" i="5"/>
  <c r="N17" i="5" s="1"/>
  <c r="P17" i="5" s="1"/>
  <c r="K17" i="5"/>
  <c r="L17" i="5" s="1"/>
  <c r="M24" i="5"/>
  <c r="N24" i="5" s="1"/>
  <c r="P24" i="5" s="1"/>
  <c r="K24" i="5"/>
  <c r="L24" i="5" s="1"/>
  <c r="M28" i="5"/>
  <c r="N28" i="5" s="1"/>
  <c r="P28" i="5" s="1"/>
  <c r="K28" i="5"/>
  <c r="L28" i="5" s="1"/>
  <c r="M7" i="5"/>
  <c r="N7" i="5" s="1"/>
  <c r="P7" i="5" s="1"/>
  <c r="K7" i="5"/>
  <c r="L7" i="5" s="1"/>
  <c r="M32" i="5"/>
  <c r="N32" i="5" s="1"/>
  <c r="P32" i="5" s="1"/>
  <c r="K32" i="5"/>
  <c r="L32" i="5" s="1"/>
  <c r="M25" i="5"/>
  <c r="N25" i="5" s="1"/>
  <c r="P25" i="5" s="1"/>
  <c r="K25" i="5"/>
  <c r="L25" i="5" s="1"/>
  <c r="K29" i="5"/>
  <c r="L29" i="5" s="1"/>
  <c r="M29" i="5"/>
  <c r="N29" i="5" s="1"/>
  <c r="P29" i="5" s="1"/>
  <c r="M33" i="5"/>
  <c r="N33" i="5" s="1"/>
  <c r="P33" i="5" s="1"/>
  <c r="K33" i="5"/>
  <c r="L33" i="5" s="1"/>
  <c r="K15" i="5"/>
  <c r="L15" i="5" s="1"/>
  <c r="M15" i="5"/>
  <c r="N15" i="5" s="1"/>
  <c r="P15" i="5" s="1"/>
  <c r="M19" i="5"/>
  <c r="N19" i="5" s="1"/>
  <c r="P19" i="5" s="1"/>
  <c r="K19" i="5"/>
  <c r="L19" i="5" s="1"/>
  <c r="M22" i="5"/>
  <c r="N22" i="5" s="1"/>
  <c r="P22" i="5" s="1"/>
  <c r="K22" i="5"/>
  <c r="L22" i="5" s="1"/>
  <c r="M26" i="5"/>
  <c r="N26" i="5" s="1"/>
  <c r="P26" i="5" s="1"/>
  <c r="K26" i="5"/>
  <c r="L26" i="5" s="1"/>
  <c r="M8" i="5"/>
  <c r="N8" i="5" s="1"/>
  <c r="P8" i="5" s="1"/>
  <c r="K8" i="5"/>
  <c r="L8" i="5" s="1"/>
  <c r="M21" i="5"/>
  <c r="N21" i="5" s="1"/>
  <c r="P21" i="5" s="1"/>
  <c r="K21" i="5"/>
  <c r="L21" i="5" s="1"/>
  <c r="M12" i="5"/>
  <c r="N12" i="5" s="1"/>
  <c r="P12" i="5" s="1"/>
  <c r="K12" i="5"/>
  <c r="L12" i="5" s="1"/>
  <c r="K30" i="5"/>
  <c r="L30" i="5" s="1"/>
  <c r="M30" i="5"/>
  <c r="N30" i="5" s="1"/>
  <c r="P30" i="5" s="1"/>
  <c r="M34" i="5"/>
  <c r="N34" i="5" s="1"/>
  <c r="P34" i="5" s="1"/>
  <c r="K34" i="5"/>
  <c r="L34" i="5" s="1"/>
  <c r="M10" i="5"/>
  <c r="N10" i="5" s="1"/>
  <c r="P10" i="5" s="1"/>
  <c r="K10" i="5"/>
  <c r="L10" i="5" s="1"/>
  <c r="M14" i="5"/>
  <c r="N14" i="5" s="1"/>
  <c r="P14" i="5" s="1"/>
  <c r="K14" i="5"/>
  <c r="L14" i="5" s="1"/>
  <c r="M9" i="5"/>
  <c r="N9" i="5" s="1"/>
  <c r="P9" i="5" s="1"/>
  <c r="K9" i="5"/>
  <c r="L9" i="5" s="1"/>
  <c r="M16" i="5"/>
  <c r="N16" i="5" s="1"/>
  <c r="P16" i="5" s="1"/>
  <c r="K16" i="5"/>
  <c r="L16" i="5" s="1"/>
  <c r="K23" i="5"/>
  <c r="L23" i="5" s="1"/>
  <c r="M23" i="5"/>
  <c r="N23" i="5" s="1"/>
  <c r="P23" i="5" s="1"/>
  <c r="M27" i="5"/>
  <c r="N27" i="5" s="1"/>
  <c r="P27" i="5" s="1"/>
  <c r="K27" i="5"/>
  <c r="L27" i="5" s="1"/>
  <c r="K13" i="5"/>
  <c r="L13" i="5" s="1"/>
  <c r="M13" i="5"/>
  <c r="N13" i="5" s="1"/>
  <c r="P13" i="5" s="1"/>
  <c r="M18" i="5"/>
  <c r="N18" i="5" s="1"/>
  <c r="P18" i="5" s="1"/>
  <c r="K18" i="5"/>
  <c r="L18" i="5" s="1"/>
  <c r="M11" i="5"/>
  <c r="N11" i="5" s="1"/>
  <c r="P11" i="5" s="1"/>
  <c r="K11" i="5"/>
  <c r="L11" i="5" s="1"/>
  <c r="M20" i="5"/>
  <c r="N20" i="5" s="1"/>
  <c r="P20" i="5" s="1"/>
  <c r="K20" i="5"/>
  <c r="L20" i="5" s="1"/>
  <c r="K103" i="4"/>
  <c r="K21" i="4"/>
  <c r="K24" i="4"/>
  <c r="K14" i="4"/>
  <c r="L13" i="4" s="1"/>
  <c r="M13" i="4" s="1"/>
  <c r="K20" i="4"/>
  <c r="K23" i="4"/>
  <c r="AS4" i="4"/>
  <c r="K7" i="4"/>
  <c r="L6" i="4" s="1"/>
  <c r="M6" i="4" s="1"/>
  <c r="K22" i="4"/>
  <c r="K16" i="4"/>
  <c r="L15" i="4" s="1"/>
  <c r="M15" i="4" s="1"/>
  <c r="N14" i="4" s="1"/>
  <c r="O14" i="4" s="1"/>
  <c r="N64" i="4"/>
  <c r="O64" i="4" s="1"/>
  <c r="G102" i="4"/>
  <c r="G38" i="4"/>
  <c r="H39" i="4" s="1"/>
  <c r="I39" i="4" s="1"/>
  <c r="G36" i="4"/>
  <c r="H37" i="4" s="1"/>
  <c r="I37" i="4" s="1"/>
  <c r="G43" i="4"/>
  <c r="H44" i="4" s="1"/>
  <c r="I44" i="4" s="1"/>
  <c r="G42" i="4"/>
  <c r="G30" i="4"/>
  <c r="G28" i="4"/>
  <c r="G127" i="4" s="1"/>
  <c r="G26" i="4"/>
  <c r="G37" i="4"/>
  <c r="G33" i="4"/>
  <c r="G39" i="4"/>
  <c r="H40" i="4" s="1"/>
  <c r="I40" i="4" s="1"/>
  <c r="G41" i="4"/>
  <c r="G32" i="4"/>
  <c r="H33" i="4" s="1"/>
  <c r="I33" i="4" s="1"/>
  <c r="G44" i="4"/>
  <c r="H45" i="4" s="1"/>
  <c r="I45" i="4" s="1"/>
  <c r="J46" i="4" s="1"/>
  <c r="K46" i="4" s="1"/>
  <c r="L47" i="4" s="1"/>
  <c r="M47" i="4" s="1"/>
  <c r="G31" i="4"/>
  <c r="K17" i="4"/>
  <c r="U4" i="4"/>
  <c r="BA4" i="4"/>
  <c r="K11" i="4"/>
  <c r="W4" i="4"/>
  <c r="BC4" i="4"/>
  <c r="K8" i="4"/>
  <c r="K18" i="4"/>
  <c r="G27" i="4"/>
  <c r="J55" i="4"/>
  <c r="K55" i="4" s="1"/>
  <c r="L54" i="4" s="1"/>
  <c r="M54" i="4" s="1"/>
  <c r="N53" i="4" s="1"/>
  <c r="O53" i="4" s="1"/>
  <c r="L74" i="4"/>
  <c r="M74" i="4" s="1"/>
  <c r="N73" i="4" s="1"/>
  <c r="O73" i="4" s="1"/>
  <c r="L76" i="4"/>
  <c r="M76" i="4" s="1"/>
  <c r="K10" i="4"/>
  <c r="AA4" i="4"/>
  <c r="BG4" i="4"/>
  <c r="K15" i="4"/>
  <c r="L14" i="4" s="1"/>
  <c r="M14" i="4" s="1"/>
  <c r="N13" i="4" s="1"/>
  <c r="O13" i="4" s="1"/>
  <c r="O112" i="4" s="1"/>
  <c r="L49" i="4"/>
  <c r="M49" i="4" s="1"/>
  <c r="K12" i="4"/>
  <c r="K13" i="4"/>
  <c r="L12" i="4" s="1"/>
  <c r="M12" i="4" s="1"/>
  <c r="L61" i="4"/>
  <c r="M61" i="4" s="1"/>
  <c r="N60" i="4" s="1"/>
  <c r="O60" i="4" s="1"/>
  <c r="AG4" i="4"/>
  <c r="K9" i="4"/>
  <c r="AI4" i="4"/>
  <c r="K6" i="4"/>
  <c r="K19" i="4"/>
  <c r="AM4" i="4"/>
  <c r="AO4" i="4"/>
  <c r="J49" i="4"/>
  <c r="K49" i="4" s="1"/>
  <c r="L57" i="4"/>
  <c r="M57" i="4" s="1"/>
  <c r="N56" i="4" s="1"/>
  <c r="O56" i="4" s="1"/>
  <c r="P55" i="4" s="1"/>
  <c r="Q55" i="4" s="1"/>
  <c r="R54" i="4" s="1"/>
  <c r="S54" i="4" s="1"/>
  <c r="L63" i="4"/>
  <c r="M63" i="4" s="1"/>
  <c r="L51" i="4"/>
  <c r="M51" i="4" s="1"/>
  <c r="J72" i="4"/>
  <c r="K72" i="4" s="1"/>
  <c r="J70" i="4"/>
  <c r="K70" i="4" s="1"/>
  <c r="L83" i="4"/>
  <c r="M83" i="4" s="1"/>
  <c r="J67" i="4"/>
  <c r="K67" i="4" s="1"/>
  <c r="J69" i="4"/>
  <c r="K69" i="4" s="1"/>
  <c r="F96" i="4"/>
  <c r="F93" i="4"/>
  <c r="J54" i="4"/>
  <c r="K54" i="4" s="1"/>
  <c r="L53" i="4" s="1"/>
  <c r="M53" i="4" s="1"/>
  <c r="N52" i="4" s="1"/>
  <c r="O52" i="4" s="1"/>
  <c r="J56" i="4"/>
  <c r="K56" i="4" s="1"/>
  <c r="L55" i="4" s="1"/>
  <c r="M55" i="4" s="1"/>
  <c r="N54" i="4" s="1"/>
  <c r="O54" i="4" s="1"/>
  <c r="P53" i="4" s="1"/>
  <c r="Q53" i="4" s="1"/>
  <c r="L58" i="4"/>
  <c r="M58" i="4" s="1"/>
  <c r="N57" i="4" s="1"/>
  <c r="O57" i="4" s="1"/>
  <c r="P56" i="4" s="1"/>
  <c r="Q56" i="4" s="1"/>
  <c r="R55" i="4" s="1"/>
  <c r="S55" i="4" s="1"/>
  <c r="N79" i="4"/>
  <c r="O79" i="4" s="1"/>
  <c r="P78" i="4" s="1"/>
  <c r="Q78" i="4" s="1"/>
  <c r="L70" i="4"/>
  <c r="M70" i="4" s="1"/>
  <c r="J60" i="4"/>
  <c r="K60" i="4" s="1"/>
  <c r="L59" i="4" s="1"/>
  <c r="M59" i="4" s="1"/>
  <c r="G138" i="4"/>
  <c r="I145" i="4"/>
  <c r="I124" i="4"/>
  <c r="I143" i="4"/>
  <c r="G135" i="4"/>
  <c r="AK104" i="4"/>
  <c r="G131" i="4"/>
  <c r="G125" i="4"/>
  <c r="G140" i="4"/>
  <c r="AU104" i="4"/>
  <c r="O104" i="4"/>
  <c r="BG104" i="4"/>
  <c r="BE104" i="4"/>
  <c r="AE104" i="4"/>
  <c r="AA104" i="4"/>
  <c r="Y104" i="4"/>
  <c r="G137" i="4"/>
  <c r="AY104" i="4"/>
  <c r="G141" i="4"/>
  <c r="S104" i="4"/>
  <c r="J68" i="4"/>
  <c r="K68" i="4" s="1"/>
  <c r="L67" i="4" s="1"/>
  <c r="M67" i="4" s="1"/>
  <c r="N66" i="4" s="1"/>
  <c r="O66" i="4" s="1"/>
  <c r="P65" i="4" s="1"/>
  <c r="Q65" i="4" s="1"/>
  <c r="J61" i="4"/>
  <c r="K61" i="4" s="1"/>
  <c r="L60" i="4" s="1"/>
  <c r="M60" i="4" s="1"/>
  <c r="N59" i="4" s="1"/>
  <c r="O59" i="4" s="1"/>
  <c r="P58" i="4" s="1"/>
  <c r="Q58" i="4" s="1"/>
  <c r="R57" i="4" s="1"/>
  <c r="S57" i="4" s="1"/>
  <c r="T56" i="4" s="1"/>
  <c r="U56" i="4" s="1"/>
  <c r="N74" i="4"/>
  <c r="O74" i="4" s="1"/>
  <c r="L79" i="4"/>
  <c r="M79" i="4" s="1"/>
  <c r="J73" i="4"/>
  <c r="K73" i="4" s="1"/>
  <c r="L72" i="4" s="1"/>
  <c r="M72" i="4" s="1"/>
  <c r="J63" i="4"/>
  <c r="K63" i="4" s="1"/>
  <c r="J65" i="4"/>
  <c r="K65" i="4" s="1"/>
  <c r="L73" i="4"/>
  <c r="M73" i="4" s="1"/>
  <c r="L82" i="4"/>
  <c r="M82" i="4" s="1"/>
  <c r="N81" i="4" s="1"/>
  <c r="O81" i="4" s="1"/>
  <c r="L84" i="4"/>
  <c r="M84" i="4" s="1"/>
  <c r="J78" i="4"/>
  <c r="K78" i="4" s="1"/>
  <c r="L77" i="4" s="1"/>
  <c r="M77" i="4" s="1"/>
  <c r="N76" i="4" s="1"/>
  <c r="O76" i="4" s="1"/>
  <c r="J57" i="4"/>
  <c r="K57" i="4" s="1"/>
  <c r="L56" i="4" s="1"/>
  <c r="M56" i="4" s="1"/>
  <c r="N55" i="4" s="1"/>
  <c r="O55" i="4" s="1"/>
  <c r="P54" i="4" s="1"/>
  <c r="Q54" i="4" s="1"/>
  <c r="L78" i="4"/>
  <c r="M78" i="4" s="1"/>
  <c r="N77" i="4" s="1"/>
  <c r="O77" i="4" s="1"/>
  <c r="I9" i="3"/>
  <c r="J9" i="3" s="1"/>
  <c r="T4" i="3"/>
  <c r="AJ4" i="3"/>
  <c r="AZ4" i="3"/>
  <c r="F13" i="3"/>
  <c r="G12" i="3" s="1"/>
  <c r="H12" i="3" s="1"/>
  <c r="I11" i="3" s="1"/>
  <c r="J11" i="3" s="1"/>
  <c r="K10" i="3" s="1"/>
  <c r="L10" i="3" s="1"/>
  <c r="L109" i="3" s="1"/>
  <c r="F19" i="3"/>
  <c r="G20" i="3" s="1"/>
  <c r="H20" i="3" s="1"/>
  <c r="H119" i="3" s="1"/>
  <c r="V4" i="3"/>
  <c r="BB4" i="3"/>
  <c r="F22" i="3"/>
  <c r="F23" i="3"/>
  <c r="X4" i="3"/>
  <c r="AN4" i="3"/>
  <c r="BD4" i="3"/>
  <c r="F12" i="3"/>
  <c r="F111" i="3" s="1"/>
  <c r="F17" i="3"/>
  <c r="F116" i="3" s="1"/>
  <c r="Z4" i="3"/>
  <c r="BF4" i="3"/>
  <c r="K68" i="3"/>
  <c r="L68" i="3" s="1"/>
  <c r="F15" i="3"/>
  <c r="L4" i="3"/>
  <c r="L103" i="3" s="1"/>
  <c r="AB4" i="3"/>
  <c r="AR4" i="3"/>
  <c r="BH4" i="3"/>
  <c r="F102" i="3"/>
  <c r="F44" i="3"/>
  <c r="G45" i="3" s="1"/>
  <c r="H45" i="3" s="1"/>
  <c r="F42" i="3"/>
  <c r="F40" i="3"/>
  <c r="F139" i="3" s="1"/>
  <c r="F38" i="3"/>
  <c r="F137" i="3" s="1"/>
  <c r="F36" i="3"/>
  <c r="G37" i="3" s="1"/>
  <c r="H37" i="3" s="1"/>
  <c r="H136" i="3" s="1"/>
  <c r="F34" i="3"/>
  <c r="F32" i="3"/>
  <c r="G33" i="3" s="1"/>
  <c r="H33" i="3" s="1"/>
  <c r="H132" i="3" s="1"/>
  <c r="F30" i="3"/>
  <c r="F28" i="3"/>
  <c r="F26" i="3"/>
  <c r="G27" i="3" s="1"/>
  <c r="H27" i="3" s="1"/>
  <c r="F27" i="3"/>
  <c r="F43" i="3"/>
  <c r="G44" i="3" s="1"/>
  <c r="H44" i="3" s="1"/>
  <c r="F24" i="3"/>
  <c r="G25" i="3" s="1"/>
  <c r="H25" i="3" s="1"/>
  <c r="F41" i="3"/>
  <c r="G42" i="3" s="1"/>
  <c r="H42" i="3" s="1"/>
  <c r="F37" i="3"/>
  <c r="F29" i="3"/>
  <c r="F25" i="3"/>
  <c r="F33" i="3"/>
  <c r="F35" i="3"/>
  <c r="F39" i="3"/>
  <c r="AD4" i="3"/>
  <c r="F6" i="3"/>
  <c r="F8" i="3"/>
  <c r="F107" i="3" s="1"/>
  <c r="F10" i="3"/>
  <c r="G11" i="3" s="1"/>
  <c r="H11" i="3" s="1"/>
  <c r="F18" i="3"/>
  <c r="G19" i="3" s="1"/>
  <c r="H19" i="3" s="1"/>
  <c r="G6" i="3"/>
  <c r="H6" i="3" s="1"/>
  <c r="I7" i="3" s="1"/>
  <c r="J7" i="3" s="1"/>
  <c r="K6" i="3" s="1"/>
  <c r="L6" i="3" s="1"/>
  <c r="I52" i="3"/>
  <c r="J52" i="3" s="1"/>
  <c r="K51" i="3" s="1"/>
  <c r="L51" i="3" s="1"/>
  <c r="M50" i="3" s="1"/>
  <c r="N50" i="3" s="1"/>
  <c r="P4" i="3"/>
  <c r="P103" i="3" s="1"/>
  <c r="AF4" i="3"/>
  <c r="AV4" i="3"/>
  <c r="F16" i="3"/>
  <c r="G17" i="3" s="1"/>
  <c r="H17" i="3" s="1"/>
  <c r="H116" i="3" s="1"/>
  <c r="R4" i="3"/>
  <c r="R103" i="3" s="1"/>
  <c r="AH4" i="3"/>
  <c r="AX4" i="3"/>
  <c r="F21" i="3"/>
  <c r="F14" i="3"/>
  <c r="F113" i="3" s="1"/>
  <c r="I57" i="3"/>
  <c r="J57" i="3" s="1"/>
  <c r="K56" i="3" s="1"/>
  <c r="L56" i="3" s="1"/>
  <c r="I59" i="3"/>
  <c r="J59" i="3" s="1"/>
  <c r="K58" i="3" s="1"/>
  <c r="L58" i="3" s="1"/>
  <c r="M57" i="3" s="1"/>
  <c r="N57" i="3" s="1"/>
  <c r="K54" i="3"/>
  <c r="L54" i="3" s="1"/>
  <c r="M53" i="3" s="1"/>
  <c r="N53" i="3" s="1"/>
  <c r="K79" i="3"/>
  <c r="L79" i="3" s="1"/>
  <c r="M78" i="3" s="1"/>
  <c r="N78" i="3" s="1"/>
  <c r="K61" i="3"/>
  <c r="L61" i="3" s="1"/>
  <c r="M60" i="3" s="1"/>
  <c r="N60" i="3" s="1"/>
  <c r="O59" i="3" s="1"/>
  <c r="P59" i="3" s="1"/>
  <c r="K75" i="3"/>
  <c r="L75" i="3" s="1"/>
  <c r="M74" i="3" s="1"/>
  <c r="N74" i="3" s="1"/>
  <c r="I54" i="3"/>
  <c r="J54" i="3" s="1"/>
  <c r="M83" i="3"/>
  <c r="N83" i="3" s="1"/>
  <c r="I60" i="3"/>
  <c r="J60" i="3" s="1"/>
  <c r="K59" i="3" s="1"/>
  <c r="L59" i="3" s="1"/>
  <c r="M58" i="3" s="1"/>
  <c r="N58" i="3" s="1"/>
  <c r="I74" i="3"/>
  <c r="J74" i="3" s="1"/>
  <c r="K73" i="3" s="1"/>
  <c r="L73" i="3" s="1"/>
  <c r="I64" i="3"/>
  <c r="J64" i="3" s="1"/>
  <c r="K63" i="3" s="1"/>
  <c r="L63" i="3" s="1"/>
  <c r="I78" i="3"/>
  <c r="J78" i="3" s="1"/>
  <c r="K77" i="3" s="1"/>
  <c r="L77" i="3" s="1"/>
  <c r="I65" i="3"/>
  <c r="J65" i="3" s="1"/>
  <c r="K64" i="3" s="1"/>
  <c r="L64" i="3" s="1"/>
  <c r="I68" i="3"/>
  <c r="J68" i="3" s="1"/>
  <c r="I70" i="3"/>
  <c r="J70" i="3" s="1"/>
  <c r="K69" i="3" s="1"/>
  <c r="L69" i="3" s="1"/>
  <c r="I49" i="3"/>
  <c r="J49" i="3" s="1"/>
  <c r="I61" i="3"/>
  <c r="J61" i="3" s="1"/>
  <c r="K60" i="3" s="1"/>
  <c r="L60" i="3" s="1"/>
  <c r="M59" i="3" s="1"/>
  <c r="N59" i="3" s="1"/>
  <c r="O58" i="3" s="1"/>
  <c r="P58" i="3" s="1"/>
  <c r="I66" i="3"/>
  <c r="J66" i="3" s="1"/>
  <c r="K65" i="3" s="1"/>
  <c r="L65" i="3" s="1"/>
  <c r="M64" i="3" s="1"/>
  <c r="N64" i="3" s="1"/>
  <c r="K70" i="3"/>
  <c r="L70" i="3" s="1"/>
  <c r="M69" i="3" s="1"/>
  <c r="N69" i="3" s="1"/>
  <c r="I73" i="3"/>
  <c r="J73" i="3" s="1"/>
  <c r="K72" i="3" s="1"/>
  <c r="L72" i="3" s="1"/>
  <c r="M71" i="3" s="1"/>
  <c r="N71" i="3" s="1"/>
  <c r="O70" i="3" s="1"/>
  <c r="P70" i="3" s="1"/>
  <c r="I75" i="3"/>
  <c r="J75" i="3" s="1"/>
  <c r="I84" i="3"/>
  <c r="J84" i="3" s="1"/>
  <c r="K83" i="3" s="1"/>
  <c r="L83" i="3" s="1"/>
  <c r="I82" i="3"/>
  <c r="J82" i="3" s="1"/>
  <c r="K81" i="3" s="1"/>
  <c r="L81" i="3" s="1"/>
  <c r="I79" i="3"/>
  <c r="J79" i="3" s="1"/>
  <c r="I77" i="3"/>
  <c r="J77" i="3" s="1"/>
  <c r="I67" i="3"/>
  <c r="J67" i="3" s="1"/>
  <c r="K82" i="3"/>
  <c r="L82" i="3" s="1"/>
  <c r="K80" i="3"/>
  <c r="L80" i="3" s="1"/>
  <c r="J148" i="3"/>
  <c r="H148" i="3"/>
  <c r="H144" i="3"/>
  <c r="F144" i="3"/>
  <c r="J149" i="3"/>
  <c r="F129" i="3"/>
  <c r="H149" i="3"/>
  <c r="H145" i="3"/>
  <c r="F124" i="3"/>
  <c r="F135" i="3"/>
  <c r="J146" i="3"/>
  <c r="H146" i="3"/>
  <c r="F136" i="3"/>
  <c r="H126" i="3"/>
  <c r="J147" i="3"/>
  <c r="F143" i="3"/>
  <c r="F127" i="3"/>
  <c r="F138" i="3"/>
  <c r="F122" i="3"/>
  <c r="AZ104" i="3"/>
  <c r="T104" i="3"/>
  <c r="AT104" i="3"/>
  <c r="N104" i="3"/>
  <c r="F115" i="3"/>
  <c r="F105" i="3"/>
  <c r="AJ104" i="3"/>
  <c r="L148" i="3"/>
  <c r="F114" i="3"/>
  <c r="H107" i="3"/>
  <c r="AL104" i="3"/>
  <c r="H143" i="3"/>
  <c r="F117" i="3"/>
  <c r="L105" i="3"/>
  <c r="AH104" i="3"/>
  <c r="AD104" i="3"/>
  <c r="F110" i="3"/>
  <c r="Z104" i="3"/>
  <c r="F134" i="3"/>
  <c r="BH104" i="3"/>
  <c r="V104" i="3"/>
  <c r="BD104" i="3"/>
  <c r="P104" i="3"/>
  <c r="F106" i="3"/>
  <c r="BB104" i="3"/>
  <c r="L104" i="3"/>
  <c r="H118" i="3"/>
  <c r="H109" i="3"/>
  <c r="AP104" i="3"/>
  <c r="X104" i="3"/>
  <c r="R104" i="3"/>
  <c r="F119" i="3"/>
  <c r="J104" i="3"/>
  <c r="F132" i="3"/>
  <c r="H104" i="3"/>
  <c r="H141" i="3"/>
  <c r="J108" i="3"/>
  <c r="F104" i="3"/>
  <c r="F108" i="3"/>
  <c r="G96" i="3"/>
  <c r="F130" i="3"/>
  <c r="BF104" i="3"/>
  <c r="F109" i="3"/>
  <c r="AX104" i="3"/>
  <c r="F120" i="3"/>
  <c r="AV104" i="3"/>
  <c r="H147" i="3"/>
  <c r="AR104" i="3"/>
  <c r="H110" i="3"/>
  <c r="AN104" i="3"/>
  <c r="I5" i="1"/>
  <c r="I15" i="1" s="1"/>
  <c r="I18" i="1" s="1"/>
  <c r="I22" i="1" s="1"/>
  <c r="J106" i="3" l="1"/>
  <c r="G16" i="3"/>
  <c r="H16" i="3" s="1"/>
  <c r="H115" i="3" s="1"/>
  <c r="F140" i="3"/>
  <c r="G29" i="3"/>
  <c r="H29" i="3" s="1"/>
  <c r="H128" i="3" s="1"/>
  <c r="F142" i="3"/>
  <c r="F123" i="3"/>
  <c r="G31" i="3"/>
  <c r="H31" i="3" s="1"/>
  <c r="H130" i="3" s="1"/>
  <c r="N48" i="4"/>
  <c r="O48" i="4" s="1"/>
  <c r="O147" i="4" s="1"/>
  <c r="F131" i="3"/>
  <c r="G35" i="3"/>
  <c r="H35" i="3" s="1"/>
  <c r="H134" i="3" s="1"/>
  <c r="G13" i="3"/>
  <c r="H13" i="3" s="1"/>
  <c r="H112" i="3" s="1"/>
  <c r="L9" i="4"/>
  <c r="M9" i="4" s="1"/>
  <c r="H111" i="3"/>
  <c r="J110" i="3"/>
  <c r="F125" i="3"/>
  <c r="G36" i="3"/>
  <c r="H36" i="3" s="1"/>
  <c r="H135" i="3" s="1"/>
  <c r="H42" i="4"/>
  <c r="I42" i="4" s="1"/>
  <c r="F118" i="3"/>
  <c r="L21" i="4"/>
  <c r="M21" i="4" s="1"/>
  <c r="F133" i="3"/>
  <c r="H35" i="4"/>
  <c r="I35" i="4" s="1"/>
  <c r="H105" i="3"/>
  <c r="F112" i="3"/>
  <c r="H34" i="4"/>
  <c r="I34" i="4" s="1"/>
  <c r="I133" i="4" s="1"/>
  <c r="L22" i="4"/>
  <c r="M22" i="4" s="1"/>
  <c r="M121" i="4" s="1"/>
  <c r="G38" i="3"/>
  <c r="H38" i="3" s="1"/>
  <c r="H137" i="3" s="1"/>
  <c r="H27" i="4"/>
  <c r="I27" i="4" s="1"/>
  <c r="H32" i="4"/>
  <c r="I32" i="4" s="1"/>
  <c r="H30" i="4"/>
  <c r="I30" i="4" s="1"/>
  <c r="N78" i="4"/>
  <c r="O78" i="4" s="1"/>
  <c r="P77" i="4" s="1"/>
  <c r="Q77" i="4" s="1"/>
  <c r="N80" i="4"/>
  <c r="O80" i="4" s="1"/>
  <c r="P79" i="4" s="1"/>
  <c r="Q79" i="4" s="1"/>
  <c r="R78" i="4" s="1"/>
  <c r="S78" i="4" s="1"/>
  <c r="N69" i="4"/>
  <c r="O69" i="4" s="1"/>
  <c r="L48" i="4"/>
  <c r="M48" i="4" s="1"/>
  <c r="L50" i="4"/>
  <c r="M50" i="4" s="1"/>
  <c r="G130" i="4"/>
  <c r="O113" i="4"/>
  <c r="L16" i="4"/>
  <c r="M16" i="4" s="1"/>
  <c r="N15" i="4" s="1"/>
  <c r="O15" i="4" s="1"/>
  <c r="P14" i="4" s="1"/>
  <c r="Q14" i="4" s="1"/>
  <c r="Q113" i="4" s="1"/>
  <c r="L18" i="4"/>
  <c r="M18" i="4" s="1"/>
  <c r="M117" i="4" s="1"/>
  <c r="N75" i="4"/>
  <c r="O75" i="4" s="1"/>
  <c r="P74" i="4" s="1"/>
  <c r="Q74" i="4" s="1"/>
  <c r="J41" i="4"/>
  <c r="K41" i="4" s="1"/>
  <c r="K145" i="4"/>
  <c r="K123" i="4"/>
  <c r="K119" i="4"/>
  <c r="M146" i="4"/>
  <c r="M120" i="4"/>
  <c r="M115" i="4"/>
  <c r="K121" i="4"/>
  <c r="K117" i="4"/>
  <c r="K113" i="4"/>
  <c r="M114" i="4"/>
  <c r="K106" i="4"/>
  <c r="K114" i="4"/>
  <c r="M108" i="4"/>
  <c r="K116" i="4"/>
  <c r="K115" i="4"/>
  <c r="M111" i="4"/>
  <c r="M104" i="4"/>
  <c r="K120" i="4"/>
  <c r="K122" i="4"/>
  <c r="M113" i="4"/>
  <c r="M112" i="4"/>
  <c r="K109" i="4"/>
  <c r="K146" i="4"/>
  <c r="M105" i="4"/>
  <c r="K118" i="4"/>
  <c r="K112" i="4"/>
  <c r="K108" i="4"/>
  <c r="K111" i="4"/>
  <c r="K105" i="4"/>
  <c r="K107" i="4"/>
  <c r="K110" i="4"/>
  <c r="AM104" i="4"/>
  <c r="K104" i="4"/>
  <c r="J34" i="4"/>
  <c r="K34" i="4" s="1"/>
  <c r="K133" i="4" s="1"/>
  <c r="G142" i="4"/>
  <c r="G139" i="4"/>
  <c r="Q104" i="4"/>
  <c r="I131" i="4"/>
  <c r="L68" i="4"/>
  <c r="M68" i="4" s="1"/>
  <c r="L8" i="4"/>
  <c r="M8" i="4" s="1"/>
  <c r="N7" i="4" s="1"/>
  <c r="O7" i="4" s="1"/>
  <c r="H28" i="4"/>
  <c r="I28" i="4" s="1"/>
  <c r="H26" i="4"/>
  <c r="I26" i="4" s="1"/>
  <c r="J25" i="4" s="1"/>
  <c r="K25" i="4" s="1"/>
  <c r="L24" i="4" s="1"/>
  <c r="M24" i="4" s="1"/>
  <c r="N23" i="4" s="1"/>
  <c r="O23" i="4" s="1"/>
  <c r="O122" i="4" s="1"/>
  <c r="H38" i="4"/>
  <c r="I38" i="4" s="1"/>
  <c r="I137" i="4" s="1"/>
  <c r="L19" i="4"/>
  <c r="M19" i="4" s="1"/>
  <c r="N18" i="4" s="1"/>
  <c r="O18" i="4" s="1"/>
  <c r="I141" i="4"/>
  <c r="AW104" i="4"/>
  <c r="G128" i="4"/>
  <c r="G132" i="4"/>
  <c r="L66" i="4"/>
  <c r="M66" i="4" s="1"/>
  <c r="L17" i="4"/>
  <c r="M17" i="4" s="1"/>
  <c r="N16" i="4" s="1"/>
  <c r="O16" i="4" s="1"/>
  <c r="N83" i="4"/>
  <c r="O83" i="4" s="1"/>
  <c r="AO104" i="4"/>
  <c r="W104" i="4"/>
  <c r="G129" i="4"/>
  <c r="G133" i="4"/>
  <c r="G134" i="4"/>
  <c r="N84" i="4"/>
  <c r="O84" i="4" s="1"/>
  <c r="P83" i="4" s="1"/>
  <c r="Q83" i="4" s="1"/>
  <c r="N82" i="4"/>
  <c r="O82" i="4" s="1"/>
  <c r="L7" i="4"/>
  <c r="M7" i="4" s="1"/>
  <c r="N6" i="4" s="1"/>
  <c r="O6" i="4" s="1"/>
  <c r="O105" i="4" s="1"/>
  <c r="H29" i="4"/>
  <c r="I29" i="4" s="1"/>
  <c r="L23" i="4"/>
  <c r="M23" i="4" s="1"/>
  <c r="N22" i="4" s="1"/>
  <c r="O22" i="4" s="1"/>
  <c r="AG104" i="4"/>
  <c r="I138" i="4"/>
  <c r="L69" i="4"/>
  <c r="M69" i="4" s="1"/>
  <c r="N68" i="4" s="1"/>
  <c r="O68" i="4" s="1"/>
  <c r="P67" i="4" s="1"/>
  <c r="Q67" i="4" s="1"/>
  <c r="R66" i="4" s="1"/>
  <c r="S66" i="4" s="1"/>
  <c r="H36" i="4"/>
  <c r="I36" i="4" s="1"/>
  <c r="J35" i="4" s="1"/>
  <c r="K35" i="4" s="1"/>
  <c r="H31" i="4"/>
  <c r="I31" i="4" s="1"/>
  <c r="J30" i="4" s="1"/>
  <c r="K30" i="4" s="1"/>
  <c r="L20" i="4"/>
  <c r="M20" i="4" s="1"/>
  <c r="N19" i="4" s="1"/>
  <c r="O19" i="4" s="1"/>
  <c r="O118" i="4" s="1"/>
  <c r="P75" i="4"/>
  <c r="Q75" i="4" s="1"/>
  <c r="N72" i="4"/>
  <c r="O72" i="4" s="1"/>
  <c r="P71" i="4" s="1"/>
  <c r="Q71" i="4" s="1"/>
  <c r="R70" i="4" s="1"/>
  <c r="S70" i="4" s="1"/>
  <c r="T69" i="4" s="1"/>
  <c r="U69" i="4" s="1"/>
  <c r="V68" i="4" s="1"/>
  <c r="W68" i="4" s="1"/>
  <c r="U104" i="4"/>
  <c r="AI104" i="4"/>
  <c r="L71" i="4"/>
  <c r="M71" i="4" s="1"/>
  <c r="N70" i="4" s="1"/>
  <c r="O70" i="4" s="1"/>
  <c r="P69" i="4" s="1"/>
  <c r="Q69" i="4" s="1"/>
  <c r="R68" i="4" s="1"/>
  <c r="S68" i="4" s="1"/>
  <c r="T67" i="4" s="1"/>
  <c r="U67" i="4" s="1"/>
  <c r="H43" i="4"/>
  <c r="I43" i="4" s="1"/>
  <c r="I142" i="4" s="1"/>
  <c r="P80" i="4"/>
  <c r="Q80" i="4" s="1"/>
  <c r="R79" i="4" s="1"/>
  <c r="S79" i="4" s="1"/>
  <c r="L64" i="4"/>
  <c r="M64" i="4" s="1"/>
  <c r="AS104" i="4"/>
  <c r="H96" i="4"/>
  <c r="BA104" i="4"/>
  <c r="G126" i="4"/>
  <c r="N50" i="4"/>
  <c r="O50" i="4" s="1"/>
  <c r="L10" i="4"/>
  <c r="M10" i="4" s="1"/>
  <c r="N9" i="4" s="1"/>
  <c r="O9" i="4" s="1"/>
  <c r="J43" i="4"/>
  <c r="K43" i="4" s="1"/>
  <c r="L42" i="4" s="1"/>
  <c r="M42" i="4" s="1"/>
  <c r="J45" i="4"/>
  <c r="K45" i="4" s="1"/>
  <c r="K144" i="4" s="1"/>
  <c r="L62" i="4"/>
  <c r="M62" i="4" s="1"/>
  <c r="N61" i="4" s="1"/>
  <c r="O61" i="4" s="1"/>
  <c r="P60" i="4" s="1"/>
  <c r="Q60" i="4" s="1"/>
  <c r="R59" i="4" s="1"/>
  <c r="S59" i="4" s="1"/>
  <c r="T58" i="4" s="1"/>
  <c r="U58" i="4" s="1"/>
  <c r="V57" i="4" s="1"/>
  <c r="W57" i="4" s="1"/>
  <c r="G136" i="4"/>
  <c r="BC104" i="4"/>
  <c r="I136" i="4"/>
  <c r="AQ104" i="4"/>
  <c r="AC104" i="4"/>
  <c r="G143" i="4"/>
  <c r="I134" i="4"/>
  <c r="I132" i="4"/>
  <c r="N62" i="4"/>
  <c r="O62" i="4" s="1"/>
  <c r="P61" i="4" s="1"/>
  <c r="Q61" i="4" s="1"/>
  <c r="L11" i="4"/>
  <c r="M11" i="4" s="1"/>
  <c r="N10" i="4" s="1"/>
  <c r="O10" i="4" s="1"/>
  <c r="J36" i="4"/>
  <c r="K36" i="4" s="1"/>
  <c r="P76" i="4"/>
  <c r="Q76" i="4" s="1"/>
  <c r="R75" i="4" s="1"/>
  <c r="S75" i="4" s="1"/>
  <c r="N71" i="4"/>
  <c r="O71" i="4" s="1"/>
  <c r="P72" i="4" s="1"/>
  <c r="Q72" i="4" s="1"/>
  <c r="I139" i="4"/>
  <c r="G124" i="4"/>
  <c r="BI104" i="4"/>
  <c r="I144" i="4"/>
  <c r="N58" i="4"/>
  <c r="O58" i="4" s="1"/>
  <c r="P57" i="4" s="1"/>
  <c r="Q57" i="4" s="1"/>
  <c r="R56" i="4" s="1"/>
  <c r="S56" i="4" s="1"/>
  <c r="T55" i="4" s="1"/>
  <c r="U55" i="4" s="1"/>
  <c r="J38" i="4"/>
  <c r="K38" i="4" s="1"/>
  <c r="H41" i="4"/>
  <c r="I41" i="4" s="1"/>
  <c r="J40" i="4" s="1"/>
  <c r="K40" i="4" s="1"/>
  <c r="K139" i="4" s="1"/>
  <c r="G34" i="3"/>
  <c r="H34" i="3" s="1"/>
  <c r="G32" i="3"/>
  <c r="H32" i="3" s="1"/>
  <c r="G43" i="3"/>
  <c r="H43" i="3" s="1"/>
  <c r="I44" i="3" s="1"/>
  <c r="J44" i="3" s="1"/>
  <c r="F141" i="3"/>
  <c r="G23" i="3"/>
  <c r="H23" i="3" s="1"/>
  <c r="G21" i="3"/>
  <c r="H21" i="3" s="1"/>
  <c r="G30" i="3"/>
  <c r="H30" i="3" s="1"/>
  <c r="F128" i="3"/>
  <c r="D186" i="3" s="1"/>
  <c r="O84" i="3"/>
  <c r="P84" i="3" s="1"/>
  <c r="O82" i="3"/>
  <c r="P82" i="3" s="1"/>
  <c r="F121" i="3"/>
  <c r="K53" i="3"/>
  <c r="L53" i="3" s="1"/>
  <c r="M52" i="3" s="1"/>
  <c r="N52" i="3" s="1"/>
  <c r="O51" i="3" s="1"/>
  <c r="P51" i="3" s="1"/>
  <c r="K55" i="3"/>
  <c r="L55" i="3" s="1"/>
  <c r="K74" i="3"/>
  <c r="L74" i="3" s="1"/>
  <c r="M73" i="3" s="1"/>
  <c r="N73" i="3" s="1"/>
  <c r="O72" i="3" s="1"/>
  <c r="P72" i="3" s="1"/>
  <c r="Q71" i="3" s="1"/>
  <c r="R71" i="3" s="1"/>
  <c r="G26" i="3"/>
  <c r="H26" i="3" s="1"/>
  <c r="I46" i="3"/>
  <c r="J46" i="3" s="1"/>
  <c r="G24" i="3"/>
  <c r="H24" i="3" s="1"/>
  <c r="I41" i="3"/>
  <c r="J41" i="3" s="1"/>
  <c r="K62" i="3"/>
  <c r="L62" i="3" s="1"/>
  <c r="M61" i="3" s="1"/>
  <c r="N61" i="3" s="1"/>
  <c r="O60" i="3" s="1"/>
  <c r="P60" i="3" s="1"/>
  <c r="Q59" i="3" s="1"/>
  <c r="R59" i="3" s="1"/>
  <c r="M81" i="3"/>
  <c r="N81" i="3" s="1"/>
  <c r="K48" i="3"/>
  <c r="L48" i="3" s="1"/>
  <c r="K50" i="3"/>
  <c r="L50" i="3" s="1"/>
  <c r="I43" i="3"/>
  <c r="J43" i="3" s="1"/>
  <c r="I45" i="3"/>
  <c r="J45" i="3" s="1"/>
  <c r="O77" i="3"/>
  <c r="P77" i="3" s="1"/>
  <c r="Q76" i="3" s="1"/>
  <c r="R76" i="3" s="1"/>
  <c r="G28" i="3"/>
  <c r="H28" i="3" s="1"/>
  <c r="G14" i="3"/>
  <c r="H14" i="3" s="1"/>
  <c r="K67" i="3"/>
  <c r="L67" i="3" s="1"/>
  <c r="M66" i="3" s="1"/>
  <c r="N66" i="3" s="1"/>
  <c r="O65" i="3" s="1"/>
  <c r="P65" i="3" s="1"/>
  <c r="I26" i="3"/>
  <c r="J26" i="3" s="1"/>
  <c r="I18" i="3"/>
  <c r="J18" i="3" s="1"/>
  <c r="I28" i="3"/>
  <c r="J28" i="3" s="1"/>
  <c r="M76" i="3"/>
  <c r="N76" i="3" s="1"/>
  <c r="O75" i="3" s="1"/>
  <c r="P75" i="3" s="1"/>
  <c r="M55" i="3"/>
  <c r="N55" i="3" s="1"/>
  <c r="O54" i="3" s="1"/>
  <c r="P54" i="3" s="1"/>
  <c r="I30" i="3"/>
  <c r="J30" i="3" s="1"/>
  <c r="K66" i="3"/>
  <c r="L66" i="3" s="1"/>
  <c r="M65" i="3" s="1"/>
  <c r="N65" i="3" s="1"/>
  <c r="M62" i="3"/>
  <c r="N62" i="3" s="1"/>
  <c r="O61" i="3" s="1"/>
  <c r="P61" i="3" s="1"/>
  <c r="Q60" i="3" s="1"/>
  <c r="R60" i="3" s="1"/>
  <c r="G9" i="3"/>
  <c r="H9" i="3" s="1"/>
  <c r="I32" i="3"/>
  <c r="J32" i="3" s="1"/>
  <c r="G18" i="3"/>
  <c r="H18" i="3" s="1"/>
  <c r="F126" i="3"/>
  <c r="K76" i="3"/>
  <c r="L76" i="3" s="1"/>
  <c r="M75" i="3" s="1"/>
  <c r="N75" i="3" s="1"/>
  <c r="O74" i="3" s="1"/>
  <c r="P74" i="3" s="1"/>
  <c r="Q73" i="3" s="1"/>
  <c r="R73" i="3" s="1"/>
  <c r="S72" i="3" s="1"/>
  <c r="T72" i="3" s="1"/>
  <c r="G7" i="3"/>
  <c r="H7" i="3" s="1"/>
  <c r="K8" i="3"/>
  <c r="L8" i="3" s="1"/>
  <c r="M9" i="3" s="1"/>
  <c r="N9" i="3" s="1"/>
  <c r="N149" i="3"/>
  <c r="K78" i="3"/>
  <c r="L78" i="3" s="1"/>
  <c r="M77" i="3" s="1"/>
  <c r="N77" i="3" s="1"/>
  <c r="O76" i="3" s="1"/>
  <c r="P76" i="3" s="1"/>
  <c r="Q75" i="3" s="1"/>
  <c r="R75" i="3" s="1"/>
  <c r="S74" i="3" s="1"/>
  <c r="T74" i="3" s="1"/>
  <c r="U73" i="3" s="1"/>
  <c r="V73" i="3" s="1"/>
  <c r="K71" i="3"/>
  <c r="L71" i="3" s="1"/>
  <c r="M70" i="3" s="1"/>
  <c r="N70" i="3" s="1"/>
  <c r="G15" i="3"/>
  <c r="H15" i="3" s="1"/>
  <c r="I36" i="3"/>
  <c r="J36" i="3" s="1"/>
  <c r="H124" i="3"/>
  <c r="M80" i="3"/>
  <c r="N80" i="3" s="1"/>
  <c r="O79" i="3" s="1"/>
  <c r="P79" i="3" s="1"/>
  <c r="G22" i="3"/>
  <c r="H22" i="3" s="1"/>
  <c r="G40" i="3"/>
  <c r="H40" i="3" s="1"/>
  <c r="G39" i="3"/>
  <c r="H39" i="3" s="1"/>
  <c r="M84" i="3"/>
  <c r="N84" i="3" s="1"/>
  <c r="M82" i="3"/>
  <c r="N82" i="3" s="1"/>
  <c r="O81" i="3" s="1"/>
  <c r="P81" i="3" s="1"/>
  <c r="Q80" i="3" s="1"/>
  <c r="R80" i="3" s="1"/>
  <c r="I35" i="3"/>
  <c r="J35" i="3" s="1"/>
  <c r="G41" i="3"/>
  <c r="H41" i="3" s="1"/>
  <c r="J27" i="4" l="1"/>
  <c r="K27" i="4" s="1"/>
  <c r="M110" i="4"/>
  <c r="J26" i="4"/>
  <c r="K26" i="4" s="1"/>
  <c r="I126" i="4"/>
  <c r="L35" i="4"/>
  <c r="M35" i="4" s="1"/>
  <c r="M134" i="4" s="1"/>
  <c r="P49" i="4"/>
  <c r="Q49" i="4" s="1"/>
  <c r="I37" i="3"/>
  <c r="J37" i="3" s="1"/>
  <c r="J32" i="4"/>
  <c r="K32" i="4" s="1"/>
  <c r="L31" i="4" s="1"/>
  <c r="M31" i="4" s="1"/>
  <c r="J33" i="4"/>
  <c r="K33" i="4" s="1"/>
  <c r="L34" i="4" s="1"/>
  <c r="M34" i="4" s="1"/>
  <c r="M133" i="4" s="1"/>
  <c r="M106" i="4"/>
  <c r="I140" i="4"/>
  <c r="O114" i="4"/>
  <c r="I12" i="3"/>
  <c r="J12" i="3" s="1"/>
  <c r="K11" i="3" s="1"/>
  <c r="L11" i="3" s="1"/>
  <c r="I34" i="3"/>
  <c r="J34" i="3" s="1"/>
  <c r="K33" i="3" s="1"/>
  <c r="L33" i="3" s="1"/>
  <c r="N21" i="4"/>
  <c r="O21" i="4" s="1"/>
  <c r="I135" i="4"/>
  <c r="M122" i="4"/>
  <c r="K131" i="4"/>
  <c r="N8" i="4"/>
  <c r="O8" i="4" s="1"/>
  <c r="T77" i="4"/>
  <c r="U77" i="4" s="1"/>
  <c r="P82" i="4"/>
  <c r="Q82" i="4" s="1"/>
  <c r="R81" i="4" s="1"/>
  <c r="S81" i="4" s="1"/>
  <c r="T80" i="4" s="1"/>
  <c r="U80" i="4" s="1"/>
  <c r="P84" i="4"/>
  <c r="Q84" i="4" s="1"/>
  <c r="R83" i="4" s="1"/>
  <c r="S83" i="4" s="1"/>
  <c r="P51" i="4"/>
  <c r="Q51" i="4" s="1"/>
  <c r="R76" i="4"/>
  <c r="S76" i="4" s="1"/>
  <c r="N12" i="4"/>
  <c r="O12" i="4" s="1"/>
  <c r="K142" i="4"/>
  <c r="M107" i="4"/>
  <c r="P63" i="4"/>
  <c r="Q63" i="4" s="1"/>
  <c r="P68" i="4"/>
  <c r="Q68" i="4" s="1"/>
  <c r="R67" i="4" s="1"/>
  <c r="S67" i="4" s="1"/>
  <c r="N63" i="4"/>
  <c r="O63" i="4" s="1"/>
  <c r="P62" i="4" s="1"/>
  <c r="Q62" i="4" s="1"/>
  <c r="R61" i="4" s="1"/>
  <c r="S61" i="4" s="1"/>
  <c r="T60" i="4" s="1"/>
  <c r="U60" i="4" s="1"/>
  <c r="V59" i="4" s="1"/>
  <c r="W59" i="4" s="1"/>
  <c r="X58" i="4" s="1"/>
  <c r="Y58" i="4" s="1"/>
  <c r="P17" i="4"/>
  <c r="Q17" i="4" s="1"/>
  <c r="O117" i="4"/>
  <c r="M119" i="4"/>
  <c r="M147" i="4"/>
  <c r="L39" i="4"/>
  <c r="M39" i="4" s="1"/>
  <c r="I130" i="4"/>
  <c r="P15" i="4"/>
  <c r="Q15" i="4" s="1"/>
  <c r="O115" i="4"/>
  <c r="J37" i="4"/>
  <c r="K37" i="4" s="1"/>
  <c r="L33" i="4"/>
  <c r="M33" i="4" s="1"/>
  <c r="K134" i="4"/>
  <c r="K124" i="4"/>
  <c r="M123" i="4"/>
  <c r="N20" i="4"/>
  <c r="O20" i="4" s="1"/>
  <c r="P21" i="4" s="1"/>
  <c r="Q21" i="4" s="1"/>
  <c r="P9" i="4"/>
  <c r="Q9" i="4" s="1"/>
  <c r="O109" i="4"/>
  <c r="L37" i="4"/>
  <c r="M37" i="4" s="1"/>
  <c r="J42" i="4"/>
  <c r="K42" i="4" s="1"/>
  <c r="N65" i="4"/>
  <c r="O65" i="4" s="1"/>
  <c r="J39" i="4"/>
  <c r="K39" i="4" s="1"/>
  <c r="K137" i="4"/>
  <c r="K129" i="4"/>
  <c r="J44" i="4"/>
  <c r="K44" i="4" s="1"/>
  <c r="J28" i="4"/>
  <c r="K28" i="4" s="1"/>
  <c r="I128" i="4"/>
  <c r="P6" i="4"/>
  <c r="Q6" i="4" s="1"/>
  <c r="Q105" i="4" s="1"/>
  <c r="O106" i="4"/>
  <c r="L44" i="4"/>
  <c r="M44" i="4" s="1"/>
  <c r="L46" i="4"/>
  <c r="M46" i="4" s="1"/>
  <c r="N47" i="4" s="1"/>
  <c r="O47" i="4" s="1"/>
  <c r="P59" i="4"/>
  <c r="Q59" i="4" s="1"/>
  <c r="R58" i="4" s="1"/>
  <c r="S58" i="4" s="1"/>
  <c r="T57" i="4" s="1"/>
  <c r="U57" i="4" s="1"/>
  <c r="V56" i="4" s="1"/>
  <c r="W56" i="4" s="1"/>
  <c r="I127" i="4"/>
  <c r="N67" i="4"/>
  <c r="O67" i="4" s="1"/>
  <c r="P66" i="4" s="1"/>
  <c r="Q66" i="4" s="1"/>
  <c r="O121" i="4"/>
  <c r="P81" i="4"/>
  <c r="Q81" i="4" s="1"/>
  <c r="R80" i="4" s="1"/>
  <c r="S80" i="4" s="1"/>
  <c r="T79" i="4" s="1"/>
  <c r="U79" i="4" s="1"/>
  <c r="V78" i="4" s="1"/>
  <c r="W78" i="4" s="1"/>
  <c r="L40" i="4"/>
  <c r="M40" i="4" s="1"/>
  <c r="P73" i="4"/>
  <c r="Q73" i="4" s="1"/>
  <c r="R72" i="4" s="1"/>
  <c r="S72" i="4" s="1"/>
  <c r="T71" i="4" s="1"/>
  <c r="U71" i="4" s="1"/>
  <c r="V70" i="4" s="1"/>
  <c r="W70" i="4" s="1"/>
  <c r="X69" i="4" s="1"/>
  <c r="Y69" i="4" s="1"/>
  <c r="P8" i="4"/>
  <c r="Q8" i="4" s="1"/>
  <c r="O108" i="4"/>
  <c r="R84" i="4"/>
  <c r="S84" i="4" s="1"/>
  <c r="R82" i="4"/>
  <c r="S82" i="4" s="1"/>
  <c r="T81" i="4" s="1"/>
  <c r="U81" i="4" s="1"/>
  <c r="V80" i="4" s="1"/>
  <c r="W80" i="4" s="1"/>
  <c r="X79" i="4" s="1"/>
  <c r="Y79" i="4" s="1"/>
  <c r="M109" i="4"/>
  <c r="M141" i="4"/>
  <c r="R73" i="4"/>
  <c r="S73" i="4" s="1"/>
  <c r="N11" i="4"/>
  <c r="O11" i="4" s="1"/>
  <c r="N17" i="4"/>
  <c r="O17" i="4" s="1"/>
  <c r="J29" i="4"/>
  <c r="K29" i="4" s="1"/>
  <c r="I129" i="4"/>
  <c r="N49" i="4"/>
  <c r="O49" i="4" s="1"/>
  <c r="N51" i="4"/>
  <c r="O51" i="4" s="1"/>
  <c r="P70" i="4"/>
  <c r="Q70" i="4" s="1"/>
  <c r="R69" i="4" s="1"/>
  <c r="S69" i="4" s="1"/>
  <c r="T68" i="4" s="1"/>
  <c r="U68" i="4" s="1"/>
  <c r="Q148" i="4"/>
  <c r="I125" i="4"/>
  <c r="M118" i="4"/>
  <c r="M116" i="4"/>
  <c r="K140" i="4"/>
  <c r="M130" i="4"/>
  <c r="K135" i="4"/>
  <c r="R77" i="4"/>
  <c r="S77" i="4" s="1"/>
  <c r="T76" i="4" s="1"/>
  <c r="U76" i="4" s="1"/>
  <c r="J31" i="4"/>
  <c r="K31" i="4" s="1"/>
  <c r="I20" i="3"/>
  <c r="J20" i="3" s="1"/>
  <c r="H120" i="3"/>
  <c r="I22" i="3"/>
  <c r="J22" i="3" s="1"/>
  <c r="H122" i="3"/>
  <c r="H114" i="3"/>
  <c r="I14" i="3"/>
  <c r="J14" i="3" s="1"/>
  <c r="I27" i="3"/>
  <c r="J27" i="3" s="1"/>
  <c r="H127" i="3"/>
  <c r="I29" i="3"/>
  <c r="J29" i="3" s="1"/>
  <c r="H129" i="3"/>
  <c r="I40" i="3"/>
  <c r="J40" i="3" s="1"/>
  <c r="H140" i="3"/>
  <c r="K36" i="3"/>
  <c r="L36" i="3" s="1"/>
  <c r="J136" i="3"/>
  <c r="L107" i="3"/>
  <c r="M7" i="3"/>
  <c r="N7" i="3" s="1"/>
  <c r="O8" i="3" s="1"/>
  <c r="P8" i="3" s="1"/>
  <c r="J143" i="3"/>
  <c r="I42" i="3"/>
  <c r="J42" i="3" s="1"/>
  <c r="H142" i="3"/>
  <c r="I17" i="3"/>
  <c r="J17" i="3" s="1"/>
  <c r="H117" i="3"/>
  <c r="K31" i="3"/>
  <c r="L31" i="3" s="1"/>
  <c r="J131" i="3"/>
  <c r="I13" i="3"/>
  <c r="J13" i="3" s="1"/>
  <c r="H113" i="3"/>
  <c r="N108" i="3"/>
  <c r="M68" i="3"/>
  <c r="N68" i="3" s="1"/>
  <c r="O67" i="3" s="1"/>
  <c r="P67" i="3" s="1"/>
  <c r="Q66" i="3" s="1"/>
  <c r="R66" i="3" s="1"/>
  <c r="I19" i="3"/>
  <c r="J19" i="3" s="1"/>
  <c r="K17" i="3"/>
  <c r="L17" i="3" s="1"/>
  <c r="J117" i="3"/>
  <c r="K45" i="3"/>
  <c r="L45" i="3" s="1"/>
  <c r="J145" i="3"/>
  <c r="K47" i="3"/>
  <c r="L47" i="3" s="1"/>
  <c r="I31" i="3"/>
  <c r="J31" i="3" s="1"/>
  <c r="H131" i="3"/>
  <c r="O63" i="3"/>
  <c r="P63" i="3" s="1"/>
  <c r="Q62" i="3" s="1"/>
  <c r="R62" i="3" s="1"/>
  <c r="S61" i="3" s="1"/>
  <c r="T61" i="3" s="1"/>
  <c r="I38" i="3"/>
  <c r="J38" i="3" s="1"/>
  <c r="H138" i="3"/>
  <c r="I21" i="3"/>
  <c r="J21" i="3" s="1"/>
  <c r="H121" i="3"/>
  <c r="O56" i="3"/>
  <c r="P56" i="3" s="1"/>
  <c r="M49" i="3"/>
  <c r="N49" i="3" s="1"/>
  <c r="L149" i="3"/>
  <c r="M51" i="3"/>
  <c r="N51" i="3" s="1"/>
  <c r="I25" i="3"/>
  <c r="J25" i="3" s="1"/>
  <c r="H125" i="3"/>
  <c r="I33" i="3"/>
  <c r="J33" i="3" s="1"/>
  <c r="K34" i="3" s="1"/>
  <c r="L34" i="3" s="1"/>
  <c r="H133" i="3"/>
  <c r="I8" i="3"/>
  <c r="J8" i="3" s="1"/>
  <c r="H108" i="3"/>
  <c r="S79" i="3"/>
  <c r="T79" i="3" s="1"/>
  <c r="U78" i="3" s="1"/>
  <c r="V78" i="3" s="1"/>
  <c r="I16" i="3"/>
  <c r="J16" i="3" s="1"/>
  <c r="M79" i="3"/>
  <c r="N79" i="3" s="1"/>
  <c r="O78" i="3" s="1"/>
  <c r="P78" i="3" s="1"/>
  <c r="Q77" i="3" s="1"/>
  <c r="R77" i="3" s="1"/>
  <c r="S76" i="3" s="1"/>
  <c r="T76" i="3" s="1"/>
  <c r="U75" i="3" s="1"/>
  <c r="V75" i="3" s="1"/>
  <c r="W74" i="3" s="1"/>
  <c r="X74" i="3" s="1"/>
  <c r="I6" i="3"/>
  <c r="J6" i="3" s="1"/>
  <c r="J105" i="3" s="1"/>
  <c r="H106" i="3"/>
  <c r="I23" i="3"/>
  <c r="J23" i="3" s="1"/>
  <c r="H123" i="3"/>
  <c r="K27" i="3"/>
  <c r="L27" i="3" s="1"/>
  <c r="J127" i="3"/>
  <c r="M63" i="3"/>
  <c r="N63" i="3" s="1"/>
  <c r="O62" i="3" s="1"/>
  <c r="P62" i="3" s="1"/>
  <c r="Q61" i="3" s="1"/>
  <c r="R61" i="3" s="1"/>
  <c r="S60" i="3" s="1"/>
  <c r="T60" i="3" s="1"/>
  <c r="M47" i="3"/>
  <c r="N47" i="3" s="1"/>
  <c r="L147" i="3"/>
  <c r="I15" i="3"/>
  <c r="J15" i="3" s="1"/>
  <c r="J134" i="3"/>
  <c r="J111" i="3"/>
  <c r="I10" i="3"/>
  <c r="J10" i="3" s="1"/>
  <c r="I39" i="3"/>
  <c r="J39" i="3" s="1"/>
  <c r="H139" i="3"/>
  <c r="K44" i="3"/>
  <c r="L44" i="3" s="1"/>
  <c r="K46" i="3"/>
  <c r="L46" i="3" s="1"/>
  <c r="J144" i="3"/>
  <c r="K42" i="3"/>
  <c r="L42" i="3" s="1"/>
  <c r="J142" i="3"/>
  <c r="M67" i="3"/>
  <c r="N67" i="3" s="1"/>
  <c r="Q83" i="3"/>
  <c r="R83" i="3" s="1"/>
  <c r="O69" i="3"/>
  <c r="P69" i="3" s="1"/>
  <c r="Q68" i="3" s="1"/>
  <c r="R68" i="3" s="1"/>
  <c r="S67" i="3" s="1"/>
  <c r="T67" i="3" s="1"/>
  <c r="K40" i="3"/>
  <c r="L40" i="3" s="1"/>
  <c r="J140" i="3"/>
  <c r="O64" i="3"/>
  <c r="P64" i="3" s="1"/>
  <c r="Q63" i="3" s="1"/>
  <c r="R63" i="3" s="1"/>
  <c r="S62" i="3" s="1"/>
  <c r="T62" i="3" s="1"/>
  <c r="U61" i="3" s="1"/>
  <c r="V61" i="3" s="1"/>
  <c r="M54" i="3"/>
  <c r="N54" i="3" s="1"/>
  <c r="O53" i="3" s="1"/>
  <c r="P53" i="3" s="1"/>
  <c r="Q52" i="3" s="1"/>
  <c r="R52" i="3" s="1"/>
  <c r="M56" i="3"/>
  <c r="N56" i="3" s="1"/>
  <c r="K29" i="3"/>
  <c r="L29" i="3" s="1"/>
  <c r="J129" i="3"/>
  <c r="O83" i="3"/>
  <c r="P83" i="3" s="1"/>
  <c r="M72" i="3"/>
  <c r="N72" i="3" s="1"/>
  <c r="Q78" i="3"/>
  <c r="R78" i="3" s="1"/>
  <c r="S77" i="3" s="1"/>
  <c r="T77" i="3" s="1"/>
  <c r="K35" i="3"/>
  <c r="L35" i="3" s="1"/>
  <c r="J135" i="3"/>
  <c r="J125" i="3"/>
  <c r="I24" i="3"/>
  <c r="J24" i="3" s="1"/>
  <c r="K132" i="4" l="1"/>
  <c r="L32" i="4"/>
  <c r="M32" i="4" s="1"/>
  <c r="N33" i="4" s="1"/>
  <c r="O33" i="4" s="1"/>
  <c r="J133" i="3"/>
  <c r="L25" i="4"/>
  <c r="M25" i="4" s="1"/>
  <c r="K125" i="4"/>
  <c r="L26" i="4"/>
  <c r="M26" i="4" s="1"/>
  <c r="K126" i="4"/>
  <c r="O132" i="4"/>
  <c r="Q120" i="4"/>
  <c r="N43" i="4"/>
  <c r="O43" i="4" s="1"/>
  <c r="M143" i="4"/>
  <c r="R8" i="4"/>
  <c r="S8" i="4" s="1"/>
  <c r="Q108" i="4"/>
  <c r="P46" i="4"/>
  <c r="Q46" i="4" s="1"/>
  <c r="O146" i="4"/>
  <c r="P7" i="4"/>
  <c r="Q7" i="4" s="1"/>
  <c r="O107" i="4"/>
  <c r="L43" i="4"/>
  <c r="M43" i="4" s="1"/>
  <c r="L45" i="4"/>
  <c r="M45" i="4" s="1"/>
  <c r="K143" i="4"/>
  <c r="N32" i="4"/>
  <c r="O32" i="4" s="1"/>
  <c r="M132" i="4"/>
  <c r="N34" i="4"/>
  <c r="O34" i="4" s="1"/>
  <c r="R16" i="4"/>
  <c r="S16" i="4" s="1"/>
  <c r="Q116" i="4"/>
  <c r="P50" i="4"/>
  <c r="Q50" i="4" s="1"/>
  <c r="P52" i="4"/>
  <c r="Q52" i="4" s="1"/>
  <c r="N36" i="4"/>
  <c r="O36" i="4" s="1"/>
  <c r="M136" i="4"/>
  <c r="M131" i="4"/>
  <c r="L27" i="4"/>
  <c r="M27" i="4" s="1"/>
  <c r="K127" i="4"/>
  <c r="L28" i="4"/>
  <c r="M28" i="4" s="1"/>
  <c r="K128" i="4"/>
  <c r="P10" i="4"/>
  <c r="Q10" i="4" s="1"/>
  <c r="O110" i="4"/>
  <c r="P12" i="4"/>
  <c r="Q12" i="4" s="1"/>
  <c r="R62" i="4"/>
  <c r="S62" i="4" s="1"/>
  <c r="T61" i="4" s="1"/>
  <c r="U61" i="4" s="1"/>
  <c r="V60" i="4" s="1"/>
  <c r="W60" i="4" s="1"/>
  <c r="X59" i="4" s="1"/>
  <c r="Y59" i="4" s="1"/>
  <c r="Z58" i="4" s="1"/>
  <c r="AA58" i="4" s="1"/>
  <c r="R64" i="4"/>
  <c r="S64" i="4" s="1"/>
  <c r="T82" i="4"/>
  <c r="U82" i="4" s="1"/>
  <c r="V81" i="4" s="1"/>
  <c r="W81" i="4" s="1"/>
  <c r="T84" i="4"/>
  <c r="U84" i="4" s="1"/>
  <c r="V83" i="4" s="1"/>
  <c r="W83" i="4" s="1"/>
  <c r="P16" i="4"/>
  <c r="Q16" i="4" s="1"/>
  <c r="O116" i="4"/>
  <c r="L38" i="4"/>
  <c r="M38" i="4" s="1"/>
  <c r="N39" i="4" s="1"/>
  <c r="O39" i="4" s="1"/>
  <c r="K138" i="4"/>
  <c r="Q114" i="4"/>
  <c r="P20" i="4"/>
  <c r="Q20" i="4" s="1"/>
  <c r="O120" i="4"/>
  <c r="P18" i="4"/>
  <c r="Q18" i="4" s="1"/>
  <c r="R65" i="4"/>
  <c r="S65" i="4" s="1"/>
  <c r="T64" i="4" s="1"/>
  <c r="U64" i="4" s="1"/>
  <c r="V63" i="4" s="1"/>
  <c r="W63" i="4" s="1"/>
  <c r="X62" i="4" s="1"/>
  <c r="Y62" i="4" s="1"/>
  <c r="Z61" i="4" s="1"/>
  <c r="AA61" i="4" s="1"/>
  <c r="AB60" i="4" s="1"/>
  <c r="AC60" i="4" s="1"/>
  <c r="P22" i="4"/>
  <c r="Q22" i="4" s="1"/>
  <c r="T78" i="4"/>
  <c r="U78" i="4" s="1"/>
  <c r="V77" i="4" s="1"/>
  <c r="W77" i="4" s="1"/>
  <c r="X76" i="4" s="1"/>
  <c r="Y76" i="4" s="1"/>
  <c r="L29" i="4"/>
  <c r="M29" i="4" s="1"/>
  <c r="R50" i="4"/>
  <c r="S50" i="4" s="1"/>
  <c r="R52" i="4"/>
  <c r="S52" i="4" s="1"/>
  <c r="R7" i="4"/>
  <c r="S7" i="4" s="1"/>
  <c r="Q107" i="4"/>
  <c r="M139" i="4"/>
  <c r="N41" i="4"/>
  <c r="O41" i="4" s="1"/>
  <c r="R74" i="4"/>
  <c r="S74" i="4" s="1"/>
  <c r="T73" i="4" s="1"/>
  <c r="U73" i="4" s="1"/>
  <c r="V72" i="4" s="1"/>
  <c r="W72" i="4" s="1"/>
  <c r="X71" i="4" s="1"/>
  <c r="Y71" i="4" s="1"/>
  <c r="Z70" i="4" s="1"/>
  <c r="AA70" i="4" s="1"/>
  <c r="P64" i="4"/>
  <c r="Q64" i="4" s="1"/>
  <c r="R63" i="4" s="1"/>
  <c r="S63" i="4" s="1"/>
  <c r="T62" i="4" s="1"/>
  <c r="U62" i="4" s="1"/>
  <c r="V61" i="4" s="1"/>
  <c r="W61" i="4" s="1"/>
  <c r="X60" i="4" s="1"/>
  <c r="Y60" i="4" s="1"/>
  <c r="Z59" i="4" s="1"/>
  <c r="AA59" i="4" s="1"/>
  <c r="P11" i="4"/>
  <c r="Q11" i="4" s="1"/>
  <c r="O111" i="4"/>
  <c r="P13" i="4"/>
  <c r="Q13" i="4" s="1"/>
  <c r="R60" i="4"/>
  <c r="S60" i="4" s="1"/>
  <c r="T59" i="4" s="1"/>
  <c r="U59" i="4" s="1"/>
  <c r="V58" i="4" s="1"/>
  <c r="W58" i="4" s="1"/>
  <c r="X57" i="4" s="1"/>
  <c r="Y57" i="4" s="1"/>
  <c r="T83" i="4"/>
  <c r="U83" i="4" s="1"/>
  <c r="P48" i="4"/>
  <c r="Q48" i="4" s="1"/>
  <c r="O148" i="4"/>
  <c r="L36" i="4"/>
  <c r="M36" i="4" s="1"/>
  <c r="K136" i="4"/>
  <c r="T72" i="4"/>
  <c r="U72" i="4" s="1"/>
  <c r="V71" i="4" s="1"/>
  <c r="W71" i="4" s="1"/>
  <c r="X70" i="4" s="1"/>
  <c r="Y70" i="4" s="1"/>
  <c r="N38" i="4"/>
  <c r="O38" i="4" s="1"/>
  <c r="M138" i="4"/>
  <c r="T74" i="4"/>
  <c r="U74" i="4" s="1"/>
  <c r="P19" i="4"/>
  <c r="Q19" i="4" s="1"/>
  <c r="O119" i="4"/>
  <c r="L30" i="4"/>
  <c r="M30" i="4" s="1"/>
  <c r="K130" i="4"/>
  <c r="V75" i="4"/>
  <c r="W75" i="4" s="1"/>
  <c r="N45" i="4"/>
  <c r="O45" i="4" s="1"/>
  <c r="M145" i="4"/>
  <c r="L41" i="4"/>
  <c r="M41" i="4" s="1"/>
  <c r="K141" i="4"/>
  <c r="T75" i="4"/>
  <c r="U75" i="4" s="1"/>
  <c r="V74" i="4" s="1"/>
  <c r="W74" i="4" s="1"/>
  <c r="X73" i="4" s="1"/>
  <c r="Y73" i="4" s="1"/>
  <c r="Z72" i="4" s="1"/>
  <c r="AA72" i="4" s="1"/>
  <c r="AB71" i="4" s="1"/>
  <c r="AC71" i="4" s="1"/>
  <c r="R71" i="4"/>
  <c r="S71" i="4" s="1"/>
  <c r="T70" i="4" s="1"/>
  <c r="U70" i="4" s="1"/>
  <c r="V69" i="4" s="1"/>
  <c r="W69" i="4" s="1"/>
  <c r="P107" i="3"/>
  <c r="K23" i="3"/>
  <c r="L23" i="3" s="1"/>
  <c r="J123" i="3"/>
  <c r="M35" i="3"/>
  <c r="N35" i="3" s="1"/>
  <c r="L135" i="3"/>
  <c r="L116" i="3"/>
  <c r="K37" i="3"/>
  <c r="L37" i="3" s="1"/>
  <c r="J137" i="3"/>
  <c r="K39" i="3"/>
  <c r="L39" i="3" s="1"/>
  <c r="J139" i="3"/>
  <c r="K28" i="3"/>
  <c r="L28" i="3" s="1"/>
  <c r="J128" i="3"/>
  <c r="Q55" i="3"/>
  <c r="R55" i="3" s="1"/>
  <c r="Q57" i="3"/>
  <c r="R57" i="3" s="1"/>
  <c r="K20" i="3"/>
  <c r="L20" i="3" s="1"/>
  <c r="J120" i="3"/>
  <c r="K14" i="3"/>
  <c r="L14" i="3" s="1"/>
  <c r="J114" i="3"/>
  <c r="Q64" i="3"/>
  <c r="R64" i="3" s="1"/>
  <c r="S63" i="3" s="1"/>
  <c r="T63" i="3" s="1"/>
  <c r="U62" i="3" s="1"/>
  <c r="V62" i="3" s="1"/>
  <c r="M32" i="3"/>
  <c r="N32" i="3" s="1"/>
  <c r="L132" i="3"/>
  <c r="K26" i="3"/>
  <c r="L26" i="3" s="1"/>
  <c r="J126" i="3"/>
  <c r="K13" i="3"/>
  <c r="L13" i="3" s="1"/>
  <c r="J113" i="3"/>
  <c r="L133" i="3"/>
  <c r="S84" i="3"/>
  <c r="T84" i="3" s="1"/>
  <c r="K25" i="3"/>
  <c r="L25" i="3" s="1"/>
  <c r="M26" i="3" s="1"/>
  <c r="N26" i="3" s="1"/>
  <c r="N146" i="3"/>
  <c r="K30" i="3"/>
  <c r="L30" i="3" s="1"/>
  <c r="J130" i="3"/>
  <c r="K16" i="3"/>
  <c r="L16" i="3" s="1"/>
  <c r="J116" i="3"/>
  <c r="O66" i="3"/>
  <c r="P66" i="3" s="1"/>
  <c r="Q65" i="3" s="1"/>
  <c r="R65" i="3" s="1"/>
  <c r="S64" i="3" s="1"/>
  <c r="T64" i="3" s="1"/>
  <c r="U63" i="3" s="1"/>
  <c r="V63" i="3" s="1"/>
  <c r="W62" i="3" s="1"/>
  <c r="X62" i="3" s="1"/>
  <c r="O68" i="3"/>
  <c r="P68" i="3" s="1"/>
  <c r="M34" i="3"/>
  <c r="N34" i="3" s="1"/>
  <c r="L134" i="3"/>
  <c r="K12" i="3"/>
  <c r="L12" i="3" s="1"/>
  <c r="J112" i="3"/>
  <c r="F186" i="3" s="1"/>
  <c r="M30" i="3"/>
  <c r="N30" i="3" s="1"/>
  <c r="L130" i="3"/>
  <c r="M45" i="3"/>
  <c r="N45" i="3" s="1"/>
  <c r="O46" i="3" s="1"/>
  <c r="P46" i="3" s="1"/>
  <c r="L145" i="3"/>
  <c r="L126" i="3"/>
  <c r="K24" i="3"/>
  <c r="L24" i="3" s="1"/>
  <c r="J124" i="3"/>
  <c r="M46" i="3"/>
  <c r="N46" i="3" s="1"/>
  <c r="L146" i="3"/>
  <c r="M48" i="3"/>
  <c r="N48" i="3" s="1"/>
  <c r="O6" i="3"/>
  <c r="P6" i="3" s="1"/>
  <c r="P105" i="3" s="1"/>
  <c r="N106" i="3"/>
  <c r="K18" i="3"/>
  <c r="L18" i="3" s="1"/>
  <c r="J118" i="3"/>
  <c r="O80" i="3"/>
  <c r="P80" i="3" s="1"/>
  <c r="O71" i="3"/>
  <c r="P71" i="3" s="1"/>
  <c r="Q70" i="3" s="1"/>
  <c r="R70" i="3" s="1"/>
  <c r="S69" i="3" s="1"/>
  <c r="T69" i="3" s="1"/>
  <c r="U68" i="3" s="1"/>
  <c r="V68" i="3" s="1"/>
  <c r="O73" i="3"/>
  <c r="P73" i="3" s="1"/>
  <c r="M43" i="3"/>
  <c r="N43" i="3" s="1"/>
  <c r="L143" i="3"/>
  <c r="M28" i="3"/>
  <c r="N28" i="3" s="1"/>
  <c r="L128" i="3"/>
  <c r="K38" i="3"/>
  <c r="L38" i="3" s="1"/>
  <c r="M39" i="3" s="1"/>
  <c r="N39" i="3" s="1"/>
  <c r="J138" i="3"/>
  <c r="O50" i="3"/>
  <c r="P50" i="3" s="1"/>
  <c r="O52" i="3"/>
  <c r="P52" i="3" s="1"/>
  <c r="K41" i="3"/>
  <c r="L41" i="3" s="1"/>
  <c r="J141" i="3"/>
  <c r="K21" i="3"/>
  <c r="L21" i="3" s="1"/>
  <c r="J121" i="3"/>
  <c r="L110" i="3"/>
  <c r="K15" i="3"/>
  <c r="L15" i="3" s="1"/>
  <c r="M16" i="3" s="1"/>
  <c r="N16" i="3" s="1"/>
  <c r="J115" i="3"/>
  <c r="M41" i="3"/>
  <c r="N41" i="3" s="1"/>
  <c r="L141" i="3"/>
  <c r="K32" i="3"/>
  <c r="L32" i="3" s="1"/>
  <c r="J132" i="3"/>
  <c r="Q84" i="3"/>
  <c r="R84" i="3" s="1"/>
  <c r="Q82" i="3"/>
  <c r="R82" i="3" s="1"/>
  <c r="S81" i="3" s="1"/>
  <c r="T81" i="3" s="1"/>
  <c r="U80" i="3" s="1"/>
  <c r="V80" i="3" s="1"/>
  <c r="W79" i="3" s="1"/>
  <c r="X79" i="3" s="1"/>
  <c r="O55" i="3"/>
  <c r="P55" i="3" s="1"/>
  <c r="Q54" i="3" s="1"/>
  <c r="R54" i="3" s="1"/>
  <c r="S53" i="3" s="1"/>
  <c r="T53" i="3" s="1"/>
  <c r="O57" i="3"/>
  <c r="P57" i="3" s="1"/>
  <c r="K9" i="3"/>
  <c r="L9" i="3" s="1"/>
  <c r="J109" i="3"/>
  <c r="K22" i="3"/>
  <c r="L22" i="3" s="1"/>
  <c r="J122" i="3"/>
  <c r="L144" i="3"/>
  <c r="L139" i="3"/>
  <c r="K7" i="3"/>
  <c r="L7" i="3" s="1"/>
  <c r="J107" i="3"/>
  <c r="E186" i="3"/>
  <c r="O48" i="3"/>
  <c r="P48" i="3" s="1"/>
  <c r="N148" i="3"/>
  <c r="K43" i="3"/>
  <c r="L43" i="3" s="1"/>
  <c r="M44" i="3" s="1"/>
  <c r="N44" i="3" s="1"/>
  <c r="K19" i="3"/>
  <c r="L19" i="3" s="1"/>
  <c r="J119" i="3"/>
  <c r="N25" i="4" l="1"/>
  <c r="O25" i="4" s="1"/>
  <c r="M125" i="4"/>
  <c r="M124" i="4"/>
  <c r="N24" i="4"/>
  <c r="O24" i="4" s="1"/>
  <c r="R49" i="4"/>
  <c r="S49" i="4" s="1"/>
  <c r="Q149" i="4"/>
  <c r="P42" i="4"/>
  <c r="Q42" i="4" s="1"/>
  <c r="O142" i="4"/>
  <c r="P35" i="4"/>
  <c r="Q35" i="4" s="1"/>
  <c r="O135" i="4"/>
  <c r="S115" i="4"/>
  <c r="V76" i="4"/>
  <c r="W76" i="4" s="1"/>
  <c r="N28" i="4"/>
  <c r="O28" i="4" s="1"/>
  <c r="M128" i="4"/>
  <c r="N30" i="4"/>
  <c r="O30" i="4" s="1"/>
  <c r="P31" i="4" s="1"/>
  <c r="Q31" i="4" s="1"/>
  <c r="V82" i="4"/>
  <c r="W82" i="4" s="1"/>
  <c r="X81" i="4" s="1"/>
  <c r="Y81" i="4" s="1"/>
  <c r="Z80" i="4" s="1"/>
  <c r="AA80" i="4" s="1"/>
  <c r="V84" i="4"/>
  <c r="W84" i="4" s="1"/>
  <c r="X83" i="4" s="1"/>
  <c r="Y83" i="4" s="1"/>
  <c r="R21" i="4"/>
  <c r="S21" i="4" s="1"/>
  <c r="Q121" i="4"/>
  <c r="R11" i="4"/>
  <c r="S11" i="4" s="1"/>
  <c r="Q111" i="4"/>
  <c r="R13" i="4"/>
  <c r="S13" i="4" s="1"/>
  <c r="P33" i="4"/>
  <c r="Q33" i="4" s="1"/>
  <c r="O133" i="4"/>
  <c r="T66" i="4"/>
  <c r="U66" i="4" s="1"/>
  <c r="S149" i="4"/>
  <c r="R15" i="4"/>
  <c r="S15" i="4" s="1"/>
  <c r="Q115" i="4"/>
  <c r="R12" i="4"/>
  <c r="S12" i="4" s="1"/>
  <c r="Q112" i="4"/>
  <c r="R17" i="4"/>
  <c r="S17" i="4" s="1"/>
  <c r="Q117" i="4"/>
  <c r="R9" i="4"/>
  <c r="S9" i="4" s="1"/>
  <c r="Q109" i="4"/>
  <c r="O131" i="4"/>
  <c r="T6" i="4"/>
  <c r="U6" i="4" s="1"/>
  <c r="U105" i="4" s="1"/>
  <c r="S106" i="4"/>
  <c r="N35" i="4"/>
  <c r="O35" i="4" s="1"/>
  <c r="M135" i="4"/>
  <c r="R47" i="4"/>
  <c r="S47" i="4" s="1"/>
  <c r="Q147" i="4"/>
  <c r="N29" i="4"/>
  <c r="O29" i="4" s="1"/>
  <c r="M129" i="4"/>
  <c r="R10" i="4"/>
  <c r="S10" i="4" s="1"/>
  <c r="Q110" i="4"/>
  <c r="N27" i="4"/>
  <c r="O27" i="4" s="1"/>
  <c r="M127" i="4"/>
  <c r="N44" i="4"/>
  <c r="O44" i="4" s="1"/>
  <c r="N46" i="4"/>
  <c r="O46" i="4" s="1"/>
  <c r="M144" i="4"/>
  <c r="N40" i="4"/>
  <c r="O40" i="4" s="1"/>
  <c r="M140" i="4"/>
  <c r="R19" i="4"/>
  <c r="S19" i="4" s="1"/>
  <c r="Q119" i="4"/>
  <c r="N42" i="4"/>
  <c r="O42" i="4" s="1"/>
  <c r="M142" i="4"/>
  <c r="X84" i="4"/>
  <c r="Y84" i="4" s="1"/>
  <c r="X82" i="4"/>
  <c r="Y82" i="4" s="1"/>
  <c r="T63" i="4"/>
  <c r="U63" i="4" s="1"/>
  <c r="V62" i="4" s="1"/>
  <c r="W62" i="4" s="1"/>
  <c r="X61" i="4" s="1"/>
  <c r="Y61" i="4" s="1"/>
  <c r="Z60" i="4" s="1"/>
  <c r="AA60" i="4" s="1"/>
  <c r="AB59" i="4" s="1"/>
  <c r="AC59" i="4" s="1"/>
  <c r="T65" i="4"/>
  <c r="U65" i="4" s="1"/>
  <c r="P44" i="4"/>
  <c r="Q44" i="4" s="1"/>
  <c r="O144" i="4"/>
  <c r="R18" i="4"/>
  <c r="S18" i="4" s="1"/>
  <c r="Q118" i="4"/>
  <c r="N26" i="4"/>
  <c r="O26" i="4" s="1"/>
  <c r="M126" i="4"/>
  <c r="R51" i="4"/>
  <c r="S51" i="4" s="1"/>
  <c r="R53" i="4"/>
  <c r="S53" i="4" s="1"/>
  <c r="V79" i="4"/>
  <c r="W79" i="4" s="1"/>
  <c r="X78" i="4" s="1"/>
  <c r="Y78" i="4" s="1"/>
  <c r="Z77" i="4" s="1"/>
  <c r="AA77" i="4" s="1"/>
  <c r="V73" i="4"/>
  <c r="W73" i="4" s="1"/>
  <c r="X72" i="4" s="1"/>
  <c r="Y72" i="4" s="1"/>
  <c r="Z71" i="4" s="1"/>
  <c r="AA71" i="4" s="1"/>
  <c r="P40" i="4"/>
  <c r="Q40" i="4" s="1"/>
  <c r="O140" i="4"/>
  <c r="R14" i="4"/>
  <c r="S14" i="4" s="1"/>
  <c r="T15" i="4" s="1"/>
  <c r="U15" i="4" s="1"/>
  <c r="R20" i="4"/>
  <c r="S20" i="4" s="1"/>
  <c r="R45" i="4"/>
  <c r="S45" i="4" s="1"/>
  <c r="Q145" i="4"/>
  <c r="S107" i="4"/>
  <c r="R6" i="4"/>
  <c r="S6" i="4" s="1"/>
  <c r="S105" i="4" s="1"/>
  <c r="Q106" i="4"/>
  <c r="T51" i="4"/>
  <c r="U51" i="4" s="1"/>
  <c r="T53" i="4"/>
  <c r="U53" i="4" s="1"/>
  <c r="P37" i="4"/>
  <c r="Q37" i="4" s="1"/>
  <c r="O137" i="4"/>
  <c r="O138" i="4"/>
  <c r="N37" i="4"/>
  <c r="O37" i="4" s="1"/>
  <c r="M137" i="4"/>
  <c r="N31" i="4"/>
  <c r="O31" i="4" s="1"/>
  <c r="N143" i="3"/>
  <c r="N125" i="3"/>
  <c r="Q45" i="3"/>
  <c r="R45" i="3" s="1"/>
  <c r="P145" i="3"/>
  <c r="O38" i="3"/>
  <c r="P38" i="3" s="1"/>
  <c r="N138" i="3"/>
  <c r="M8" i="3"/>
  <c r="N8" i="3" s="1"/>
  <c r="L108" i="3"/>
  <c r="M40" i="3"/>
  <c r="N40" i="3" s="1"/>
  <c r="L140" i="3"/>
  <c r="O33" i="3"/>
  <c r="P33" i="3" s="1"/>
  <c r="N133" i="3"/>
  <c r="M12" i="3"/>
  <c r="N12" i="3" s="1"/>
  <c r="L112" i="3"/>
  <c r="M18" i="3"/>
  <c r="N18" i="3" s="1"/>
  <c r="L118" i="3"/>
  <c r="M36" i="3"/>
  <c r="N36" i="3" s="1"/>
  <c r="L136" i="3"/>
  <c r="M15" i="3"/>
  <c r="N15" i="3" s="1"/>
  <c r="L115" i="3"/>
  <c r="Q56" i="3"/>
  <c r="R56" i="3" s="1"/>
  <c r="S55" i="3" s="1"/>
  <c r="T55" i="3" s="1"/>
  <c r="U54" i="3" s="1"/>
  <c r="V54" i="3" s="1"/>
  <c r="Q58" i="3"/>
  <c r="R58" i="3" s="1"/>
  <c r="Q47" i="3"/>
  <c r="R47" i="3" s="1"/>
  <c r="P147" i="3"/>
  <c r="O31" i="3"/>
  <c r="P31" i="3" s="1"/>
  <c r="N131" i="3"/>
  <c r="Q49" i="3"/>
  <c r="R49" i="3" s="1"/>
  <c r="P149" i="3"/>
  <c r="S83" i="3"/>
  <c r="T83" i="3" s="1"/>
  <c r="M29" i="3"/>
  <c r="N29" i="3" s="1"/>
  <c r="L129" i="3"/>
  <c r="N115" i="3"/>
  <c r="M38" i="3"/>
  <c r="N38" i="3" s="1"/>
  <c r="L138" i="3"/>
  <c r="M31" i="3"/>
  <c r="N31" i="3" s="1"/>
  <c r="L131" i="3"/>
  <c r="O40" i="3"/>
  <c r="P40" i="3" s="1"/>
  <c r="N140" i="3"/>
  <c r="O42" i="3"/>
  <c r="P42" i="3" s="1"/>
  <c r="N142" i="3"/>
  <c r="M13" i="3"/>
  <c r="N13" i="3" s="1"/>
  <c r="L113" i="3"/>
  <c r="N134" i="3"/>
  <c r="Q67" i="3"/>
  <c r="R67" i="3" s="1"/>
  <c r="S66" i="3" s="1"/>
  <c r="T66" i="3" s="1"/>
  <c r="U65" i="3" s="1"/>
  <c r="V65" i="3" s="1"/>
  <c r="W64" i="3" s="1"/>
  <c r="X64" i="3" s="1"/>
  <c r="Y63" i="3" s="1"/>
  <c r="Z63" i="3" s="1"/>
  <c r="Q69" i="3"/>
  <c r="R69" i="3" s="1"/>
  <c r="M25" i="3"/>
  <c r="N25" i="3" s="1"/>
  <c r="L125" i="3"/>
  <c r="O27" i="3"/>
  <c r="P27" i="3" s="1"/>
  <c r="N127" i="3"/>
  <c r="M6" i="3"/>
  <c r="N6" i="3" s="1"/>
  <c r="N105" i="3" s="1"/>
  <c r="L106" i="3"/>
  <c r="S65" i="3"/>
  <c r="T65" i="3" s="1"/>
  <c r="M14" i="3"/>
  <c r="N14" i="3" s="1"/>
  <c r="O15" i="3" s="1"/>
  <c r="P15" i="3" s="1"/>
  <c r="L114" i="3"/>
  <c r="Q72" i="3"/>
  <c r="R72" i="3" s="1"/>
  <c r="S71" i="3" s="1"/>
  <c r="T71" i="3" s="1"/>
  <c r="U70" i="3" s="1"/>
  <c r="V70" i="3" s="1"/>
  <c r="W69" i="3" s="1"/>
  <c r="X69" i="3" s="1"/>
  <c r="Q74" i="3"/>
  <c r="R74" i="3" s="1"/>
  <c r="O44" i="3"/>
  <c r="P44" i="3" s="1"/>
  <c r="N144" i="3"/>
  <c r="M24" i="3"/>
  <c r="N24" i="3" s="1"/>
  <c r="L124" i="3"/>
  <c r="M19" i="3"/>
  <c r="N19" i="3" s="1"/>
  <c r="L119" i="3"/>
  <c r="Q51" i="3"/>
  <c r="R51" i="3" s="1"/>
  <c r="Q53" i="3"/>
  <c r="R53" i="3" s="1"/>
  <c r="S52" i="3" s="1"/>
  <c r="T52" i="3" s="1"/>
  <c r="S56" i="3"/>
  <c r="T56" i="3" s="1"/>
  <c r="S58" i="3"/>
  <c r="T58" i="3" s="1"/>
  <c r="M22" i="3"/>
  <c r="N22" i="3" s="1"/>
  <c r="L122" i="3"/>
  <c r="M10" i="3"/>
  <c r="N10" i="3" s="1"/>
  <c r="O29" i="3"/>
  <c r="P29" i="3" s="1"/>
  <c r="N129" i="3"/>
  <c r="M17" i="3"/>
  <c r="N17" i="3" s="1"/>
  <c r="L117" i="3"/>
  <c r="M37" i="3"/>
  <c r="N37" i="3" s="1"/>
  <c r="L137" i="3"/>
  <c r="Q79" i="3"/>
  <c r="R79" i="3" s="1"/>
  <c r="S78" i="3" s="1"/>
  <c r="T78" i="3" s="1"/>
  <c r="U77" i="3" s="1"/>
  <c r="V77" i="3" s="1"/>
  <c r="W76" i="3" s="1"/>
  <c r="X76" i="3" s="1"/>
  <c r="Y75" i="3" s="1"/>
  <c r="Z75" i="3" s="1"/>
  <c r="Q81" i="3"/>
  <c r="R81" i="3" s="1"/>
  <c r="M42" i="3"/>
  <c r="N42" i="3" s="1"/>
  <c r="L142" i="3"/>
  <c r="O47" i="3"/>
  <c r="P47" i="3" s="1"/>
  <c r="N147" i="3"/>
  <c r="O49" i="3"/>
  <c r="P49" i="3" s="1"/>
  <c r="O45" i="3"/>
  <c r="P45" i="3" s="1"/>
  <c r="N145" i="3"/>
  <c r="M23" i="3"/>
  <c r="N23" i="3" s="1"/>
  <c r="L123" i="3"/>
  <c r="M21" i="3"/>
  <c r="N21" i="3" s="1"/>
  <c r="L121" i="3"/>
  <c r="M20" i="3"/>
  <c r="N20" i="3" s="1"/>
  <c r="L120" i="3"/>
  <c r="M11" i="3"/>
  <c r="N11" i="3" s="1"/>
  <c r="L111" i="3"/>
  <c r="M33" i="3"/>
  <c r="N33" i="3" s="1"/>
  <c r="O34" i="3" s="1"/>
  <c r="P34" i="3" s="1"/>
  <c r="M27" i="3"/>
  <c r="N27" i="3" s="1"/>
  <c r="L127" i="3"/>
  <c r="Q7" i="3"/>
  <c r="R7" i="3" s="1"/>
  <c r="P23" i="4" l="1"/>
  <c r="Q23" i="4" s="1"/>
  <c r="O123" i="4"/>
  <c r="P24" i="4"/>
  <c r="Q24" i="4" s="1"/>
  <c r="O124" i="4"/>
  <c r="Q130" i="4"/>
  <c r="V52" i="4"/>
  <c r="W52" i="4" s="1"/>
  <c r="V54" i="4"/>
  <c r="W54" i="4" s="1"/>
  <c r="T50" i="4"/>
  <c r="U50" i="4" s="1"/>
  <c r="S150" i="4"/>
  <c r="T46" i="4"/>
  <c r="U46" i="4" s="1"/>
  <c r="S146" i="4"/>
  <c r="P41" i="4"/>
  <c r="Q41" i="4" s="1"/>
  <c r="O141" i="4"/>
  <c r="P27" i="4"/>
  <c r="Q27" i="4" s="1"/>
  <c r="O127" i="4"/>
  <c r="X75" i="4"/>
  <c r="Y75" i="4" s="1"/>
  <c r="Z74" i="4" s="1"/>
  <c r="AA74" i="4" s="1"/>
  <c r="AB73" i="4" s="1"/>
  <c r="AC73" i="4" s="1"/>
  <c r="AD72" i="4" s="1"/>
  <c r="AE72" i="4" s="1"/>
  <c r="X77" i="4"/>
  <c r="Y77" i="4" s="1"/>
  <c r="T7" i="4"/>
  <c r="U7" i="4" s="1"/>
  <c r="T17" i="4"/>
  <c r="U17" i="4" s="1"/>
  <c r="S117" i="4"/>
  <c r="V65" i="4"/>
  <c r="W65" i="4" s="1"/>
  <c r="X64" i="4" s="1"/>
  <c r="Y64" i="4" s="1"/>
  <c r="Z63" i="4" s="1"/>
  <c r="AA63" i="4" s="1"/>
  <c r="AB62" i="4" s="1"/>
  <c r="AC62" i="4" s="1"/>
  <c r="AD61" i="4" s="1"/>
  <c r="AE61" i="4" s="1"/>
  <c r="V67" i="4"/>
  <c r="W67" i="4" s="1"/>
  <c r="U114" i="4"/>
  <c r="S144" i="4"/>
  <c r="R43" i="4"/>
  <c r="S43" i="4" s="1"/>
  <c r="T44" i="4" s="1"/>
  <c r="U44" i="4" s="1"/>
  <c r="Q143" i="4"/>
  <c r="P45" i="4"/>
  <c r="Q45" i="4" s="1"/>
  <c r="P47" i="4"/>
  <c r="Q47" i="4" s="1"/>
  <c r="O145" i="4"/>
  <c r="P29" i="4"/>
  <c r="Q29" i="4" s="1"/>
  <c r="O129" i="4"/>
  <c r="V64" i="4"/>
  <c r="W64" i="4" s="1"/>
  <c r="X63" i="4" s="1"/>
  <c r="Y63" i="4" s="1"/>
  <c r="Z62" i="4" s="1"/>
  <c r="AA62" i="4" s="1"/>
  <c r="AB61" i="4" s="1"/>
  <c r="AC61" i="4" s="1"/>
  <c r="AD60" i="4" s="1"/>
  <c r="AE60" i="4" s="1"/>
  <c r="V66" i="4"/>
  <c r="W66" i="4" s="1"/>
  <c r="R36" i="4"/>
  <c r="S36" i="4" s="1"/>
  <c r="Q136" i="4"/>
  <c r="T14" i="4"/>
  <c r="U14" i="4" s="1"/>
  <c r="S114" i="4"/>
  <c r="P30" i="4"/>
  <c r="Q30" i="4" s="1"/>
  <c r="O130" i="4"/>
  <c r="P32" i="4"/>
  <c r="Q32" i="4" s="1"/>
  <c r="T13" i="4"/>
  <c r="U13" i="4" s="1"/>
  <c r="S113" i="4"/>
  <c r="T8" i="4"/>
  <c r="U8" i="4" s="1"/>
  <c r="S108" i="4"/>
  <c r="T12" i="4"/>
  <c r="U12" i="4" s="1"/>
  <c r="S112" i="4"/>
  <c r="R34" i="4"/>
  <c r="S34" i="4" s="1"/>
  <c r="Q134" i="4"/>
  <c r="Z84" i="4"/>
  <c r="AA84" i="4" s="1"/>
  <c r="Z82" i="4"/>
  <c r="AA82" i="4" s="1"/>
  <c r="AB81" i="4" s="1"/>
  <c r="AC81" i="4" s="1"/>
  <c r="U150" i="4"/>
  <c r="P34" i="4"/>
  <c r="Q34" i="4" s="1"/>
  <c r="O134" i="4"/>
  <c r="Z81" i="4"/>
  <c r="AA81" i="4" s="1"/>
  <c r="AB80" i="4" s="1"/>
  <c r="AC80" i="4" s="1"/>
  <c r="AD79" i="4" s="1"/>
  <c r="AE79" i="4" s="1"/>
  <c r="P36" i="4"/>
  <c r="Q36" i="4" s="1"/>
  <c r="O136" i="4"/>
  <c r="Q139" i="4"/>
  <c r="Z83" i="4"/>
  <c r="AA83" i="4" s="1"/>
  <c r="T16" i="4"/>
  <c r="U16" i="4" s="1"/>
  <c r="S116" i="4"/>
  <c r="T10" i="4"/>
  <c r="U10" i="4" s="1"/>
  <c r="S110" i="4"/>
  <c r="R41" i="4"/>
  <c r="S41" i="4" s="1"/>
  <c r="Q141" i="4"/>
  <c r="T52" i="4"/>
  <c r="U52" i="4" s="1"/>
  <c r="T54" i="4"/>
  <c r="U54" i="4" s="1"/>
  <c r="P43" i="4"/>
  <c r="Q43" i="4" s="1"/>
  <c r="O143" i="4"/>
  <c r="T9" i="4"/>
  <c r="U9" i="4" s="1"/>
  <c r="S109" i="4"/>
  <c r="P25" i="4"/>
  <c r="Q25" i="4" s="1"/>
  <c r="O125" i="4"/>
  <c r="P38" i="4"/>
  <c r="Q38" i="4" s="1"/>
  <c r="T11" i="4"/>
  <c r="U11" i="4" s="1"/>
  <c r="S111" i="4"/>
  <c r="T48" i="4"/>
  <c r="U48" i="4" s="1"/>
  <c r="S148" i="4"/>
  <c r="T18" i="4"/>
  <c r="U18" i="4" s="1"/>
  <c r="S118" i="4"/>
  <c r="P39" i="4"/>
  <c r="Q39" i="4" s="1"/>
  <c r="O139" i="4"/>
  <c r="T19" i="4"/>
  <c r="U19" i="4" s="1"/>
  <c r="S119" i="4"/>
  <c r="R32" i="4"/>
  <c r="S32" i="4" s="1"/>
  <c r="Q132" i="4"/>
  <c r="P26" i="4"/>
  <c r="Q26" i="4" s="1"/>
  <c r="O126" i="4"/>
  <c r="P28" i="4"/>
  <c r="Q28" i="4" s="1"/>
  <c r="O128" i="4"/>
  <c r="X74" i="4"/>
  <c r="Y74" i="4" s="1"/>
  <c r="T20" i="4"/>
  <c r="U20" i="4" s="1"/>
  <c r="S120" i="4"/>
  <c r="X80" i="4"/>
  <c r="Y80" i="4" s="1"/>
  <c r="Z79" i="4" s="1"/>
  <c r="AA79" i="4" s="1"/>
  <c r="AB78" i="4" s="1"/>
  <c r="AC78" i="4" s="1"/>
  <c r="P133" i="3"/>
  <c r="P114" i="3"/>
  <c r="O11" i="3"/>
  <c r="P11" i="3" s="1"/>
  <c r="N111" i="3"/>
  <c r="Q32" i="3"/>
  <c r="R32" i="3" s="1"/>
  <c r="P132" i="3"/>
  <c r="U64" i="3"/>
  <c r="V64" i="3" s="1"/>
  <c r="W63" i="3" s="1"/>
  <c r="X63" i="3" s="1"/>
  <c r="U66" i="3"/>
  <c r="V66" i="3" s="1"/>
  <c r="O39" i="3"/>
  <c r="P39" i="3" s="1"/>
  <c r="N139" i="3"/>
  <c r="P144" i="3"/>
  <c r="O21" i="3"/>
  <c r="P21" i="3" s="1"/>
  <c r="N121" i="3"/>
  <c r="O41" i="3"/>
  <c r="P41" i="3" s="1"/>
  <c r="N141" i="3"/>
  <c r="S46" i="3"/>
  <c r="T46" i="3" s="1"/>
  <c r="R146" i="3"/>
  <c r="S73" i="3"/>
  <c r="T73" i="3" s="1"/>
  <c r="U72" i="3" s="1"/>
  <c r="V72" i="3" s="1"/>
  <c r="W71" i="3" s="1"/>
  <c r="X71" i="3" s="1"/>
  <c r="Y70" i="3" s="1"/>
  <c r="Z70" i="3" s="1"/>
  <c r="S75" i="3"/>
  <c r="T75" i="3" s="1"/>
  <c r="G186" i="3"/>
  <c r="O7" i="3"/>
  <c r="P7" i="3" s="1"/>
  <c r="N107" i="3"/>
  <c r="S48" i="3"/>
  <c r="T48" i="3" s="1"/>
  <c r="R148" i="3"/>
  <c r="Q39" i="3"/>
  <c r="R39" i="3" s="1"/>
  <c r="P139" i="3"/>
  <c r="T151" i="3"/>
  <c r="Q26" i="3"/>
  <c r="R26" i="3" s="1"/>
  <c r="P126" i="3"/>
  <c r="O37" i="3"/>
  <c r="P37" i="3" s="1"/>
  <c r="N137" i="3"/>
  <c r="S57" i="3"/>
  <c r="T57" i="3" s="1"/>
  <c r="U56" i="3" s="1"/>
  <c r="V56" i="3" s="1"/>
  <c r="W55" i="3" s="1"/>
  <c r="X55" i="3" s="1"/>
  <c r="S59" i="3"/>
  <c r="T59" i="3" s="1"/>
  <c r="U57" i="3"/>
  <c r="V57" i="3" s="1"/>
  <c r="U59" i="3"/>
  <c r="V59" i="3" s="1"/>
  <c r="O9" i="3"/>
  <c r="P9" i="3" s="1"/>
  <c r="N109" i="3"/>
  <c r="Q46" i="3"/>
  <c r="R46" i="3" s="1"/>
  <c r="P146" i="3"/>
  <c r="Q28" i="3"/>
  <c r="R28" i="3" s="1"/>
  <c r="P128" i="3"/>
  <c r="S80" i="3"/>
  <c r="T80" i="3" s="1"/>
  <c r="U79" i="3" s="1"/>
  <c r="V79" i="3" s="1"/>
  <c r="W78" i="3" s="1"/>
  <c r="X78" i="3" s="1"/>
  <c r="Y77" i="3" s="1"/>
  <c r="Z77" i="3" s="1"/>
  <c r="AA76" i="3" s="1"/>
  <c r="AB76" i="3" s="1"/>
  <c r="S82" i="3"/>
  <c r="T82" i="3" s="1"/>
  <c r="O18" i="3"/>
  <c r="P18" i="3" s="1"/>
  <c r="N118" i="3"/>
  <c r="S68" i="3"/>
  <c r="T68" i="3" s="1"/>
  <c r="U67" i="3" s="1"/>
  <c r="V67" i="3" s="1"/>
  <c r="W66" i="3" s="1"/>
  <c r="X66" i="3" s="1"/>
  <c r="Y65" i="3" s="1"/>
  <c r="Z65" i="3" s="1"/>
  <c r="AA64" i="3" s="1"/>
  <c r="AB64" i="3" s="1"/>
  <c r="S70" i="3"/>
  <c r="T70" i="3" s="1"/>
  <c r="O14" i="3"/>
  <c r="P14" i="3" s="1"/>
  <c r="N114" i="3"/>
  <c r="R144" i="3"/>
  <c r="U82" i="3"/>
  <c r="V82" i="3" s="1"/>
  <c r="W81" i="3" s="1"/>
  <c r="X81" i="3" s="1"/>
  <c r="Y80" i="3" s="1"/>
  <c r="Z80" i="3" s="1"/>
  <c r="U84" i="3"/>
  <c r="V84" i="3" s="1"/>
  <c r="W83" i="3" s="1"/>
  <c r="X83" i="3" s="1"/>
  <c r="Q48" i="3"/>
  <c r="R48" i="3" s="1"/>
  <c r="P148" i="3"/>
  <c r="Q50" i="3"/>
  <c r="R50" i="3" s="1"/>
  <c r="U55" i="3"/>
  <c r="V55" i="3" s="1"/>
  <c r="W54" i="3" s="1"/>
  <c r="X54" i="3" s="1"/>
  <c r="O10" i="3"/>
  <c r="P10" i="3" s="1"/>
  <c r="N110" i="3"/>
  <c r="O13" i="3"/>
  <c r="P13" i="3" s="1"/>
  <c r="N113" i="3"/>
  <c r="O20" i="3"/>
  <c r="P20" i="3" s="1"/>
  <c r="N120" i="3"/>
  <c r="O16" i="3"/>
  <c r="P16" i="3" s="1"/>
  <c r="N116" i="3"/>
  <c r="O23" i="3"/>
  <c r="P23" i="3" s="1"/>
  <c r="N123" i="3"/>
  <c r="O35" i="3"/>
  <c r="P35" i="3" s="1"/>
  <c r="N135" i="3"/>
  <c r="O25" i="3"/>
  <c r="P25" i="3" s="1"/>
  <c r="Q30" i="3"/>
  <c r="R30" i="3" s="1"/>
  <c r="P130" i="3"/>
  <c r="O26" i="3"/>
  <c r="P26" i="3" s="1"/>
  <c r="N126" i="3"/>
  <c r="O32" i="3"/>
  <c r="P32" i="3" s="1"/>
  <c r="N132" i="3"/>
  <c r="S50" i="3"/>
  <c r="T50" i="3" s="1"/>
  <c r="U51" i="3" s="1"/>
  <c r="V51" i="3" s="1"/>
  <c r="R150" i="3"/>
  <c r="O24" i="3"/>
  <c r="P24" i="3" s="1"/>
  <c r="N124" i="3"/>
  <c r="S54" i="3"/>
  <c r="T54" i="3" s="1"/>
  <c r="U53" i="3" s="1"/>
  <c r="V53" i="3" s="1"/>
  <c r="O12" i="3"/>
  <c r="P12" i="3" s="1"/>
  <c r="N112" i="3"/>
  <c r="Q41" i="3"/>
  <c r="R41" i="3" s="1"/>
  <c r="P141" i="3"/>
  <c r="S6" i="3"/>
  <c r="T6" i="3" s="1"/>
  <c r="T105" i="3" s="1"/>
  <c r="R106" i="3"/>
  <c r="O30" i="3"/>
  <c r="P30" i="3" s="1"/>
  <c r="N130" i="3"/>
  <c r="P137" i="3"/>
  <c r="O36" i="3"/>
  <c r="P36" i="3" s="1"/>
  <c r="N136" i="3"/>
  <c r="O19" i="3"/>
  <c r="P19" i="3" s="1"/>
  <c r="N119" i="3"/>
  <c r="O22" i="3"/>
  <c r="P22" i="3" s="1"/>
  <c r="N122" i="3"/>
  <c r="Q43" i="3"/>
  <c r="R43" i="3" s="1"/>
  <c r="S44" i="3" s="1"/>
  <c r="T44" i="3" s="1"/>
  <c r="P143" i="3"/>
  <c r="O28" i="3"/>
  <c r="P28" i="3" s="1"/>
  <c r="N128" i="3"/>
  <c r="O17" i="3"/>
  <c r="P17" i="3" s="1"/>
  <c r="N117" i="3"/>
  <c r="O43" i="3"/>
  <c r="P43" i="3" s="1"/>
  <c r="Q44" i="3" s="1"/>
  <c r="R44" i="3" s="1"/>
  <c r="H186" i="3" l="1"/>
  <c r="Q123" i="4"/>
  <c r="R23" i="4"/>
  <c r="S23" i="4" s="1"/>
  <c r="R22" i="4"/>
  <c r="S22" i="4" s="1"/>
  <c r="Q122" i="4"/>
  <c r="T33" i="4"/>
  <c r="U33" i="4" s="1"/>
  <c r="S133" i="4"/>
  <c r="V7" i="4"/>
  <c r="W7" i="4" s="1"/>
  <c r="U107" i="4"/>
  <c r="R46" i="4"/>
  <c r="S46" i="4" s="1"/>
  <c r="Q146" i="4"/>
  <c r="R48" i="4"/>
  <c r="S48" i="4" s="1"/>
  <c r="R26" i="4"/>
  <c r="S26" i="4" s="1"/>
  <c r="Q126" i="4"/>
  <c r="R25" i="4"/>
  <c r="S25" i="4" s="1"/>
  <c r="Q125" i="4"/>
  <c r="R40" i="4"/>
  <c r="S40" i="4" s="1"/>
  <c r="Q140" i="4"/>
  <c r="V6" i="4"/>
  <c r="W6" i="4" s="1"/>
  <c r="W105" i="4" s="1"/>
  <c r="U106" i="4"/>
  <c r="V18" i="4"/>
  <c r="W18" i="4" s="1"/>
  <c r="U118" i="4"/>
  <c r="R38" i="4"/>
  <c r="S38" i="4" s="1"/>
  <c r="Q138" i="4"/>
  <c r="V8" i="4"/>
  <c r="W8" i="4" s="1"/>
  <c r="U108" i="4"/>
  <c r="R35" i="4"/>
  <c r="S35" i="4" s="1"/>
  <c r="Q135" i="4"/>
  <c r="V12" i="4"/>
  <c r="W12" i="4" s="1"/>
  <c r="U112" i="4"/>
  <c r="T42" i="4"/>
  <c r="U42" i="4" s="1"/>
  <c r="S142" i="4"/>
  <c r="V9" i="4"/>
  <c r="W9" i="4" s="1"/>
  <c r="U109" i="4"/>
  <c r="AB84" i="4"/>
  <c r="AC84" i="4" s="1"/>
  <c r="AD83" i="4" s="1"/>
  <c r="AE83" i="4" s="1"/>
  <c r="AB82" i="4"/>
  <c r="AC82" i="4" s="1"/>
  <c r="AD81" i="4" s="1"/>
  <c r="AE81" i="4" s="1"/>
  <c r="AF80" i="4" s="1"/>
  <c r="AG80" i="4" s="1"/>
  <c r="R31" i="4"/>
  <c r="S31" i="4" s="1"/>
  <c r="Q131" i="4"/>
  <c r="V11" i="4"/>
  <c r="W11" i="4" s="1"/>
  <c r="U111" i="4"/>
  <c r="V17" i="4"/>
  <c r="W17" i="4" s="1"/>
  <c r="U117" i="4"/>
  <c r="V45" i="4"/>
  <c r="W45" i="4" s="1"/>
  <c r="U145" i="4"/>
  <c r="S131" i="4"/>
  <c r="R42" i="4"/>
  <c r="S42" i="4" s="1"/>
  <c r="Q142" i="4"/>
  <c r="R33" i="4"/>
  <c r="S33" i="4" s="1"/>
  <c r="Q133" i="4"/>
  <c r="R29" i="4"/>
  <c r="S29" i="4" s="1"/>
  <c r="Q129" i="4"/>
  <c r="Z76" i="4"/>
  <c r="AA76" i="4" s="1"/>
  <c r="AB75" i="4" s="1"/>
  <c r="AC75" i="4" s="1"/>
  <c r="AD74" i="4" s="1"/>
  <c r="AE74" i="4" s="1"/>
  <c r="AF73" i="4" s="1"/>
  <c r="AG73" i="4" s="1"/>
  <c r="Z78" i="4"/>
  <c r="AA78" i="4" s="1"/>
  <c r="R44" i="4"/>
  <c r="S44" i="4" s="1"/>
  <c r="Q144" i="4"/>
  <c r="V47" i="4"/>
  <c r="W47" i="4" s="1"/>
  <c r="U147" i="4"/>
  <c r="V53" i="4"/>
  <c r="W53" i="4" s="1"/>
  <c r="V55" i="4"/>
  <c r="W55" i="4" s="1"/>
  <c r="V14" i="4"/>
  <c r="W14" i="4" s="1"/>
  <c r="V49" i="4"/>
  <c r="W49" i="4" s="1"/>
  <c r="U149" i="4"/>
  <c r="R37" i="4"/>
  <c r="S37" i="4" s="1"/>
  <c r="Q137" i="4"/>
  <c r="R28" i="4"/>
  <c r="S28" i="4" s="1"/>
  <c r="Q128" i="4"/>
  <c r="R39" i="4"/>
  <c r="S39" i="4" s="1"/>
  <c r="U143" i="4"/>
  <c r="V19" i="4"/>
  <c r="W19" i="4" s="1"/>
  <c r="U119" i="4"/>
  <c r="V51" i="4"/>
  <c r="W51" i="4" s="1"/>
  <c r="U151" i="4"/>
  <c r="V13" i="4"/>
  <c r="W13" i="4" s="1"/>
  <c r="U113" i="4"/>
  <c r="X66" i="4"/>
  <c r="Y66" i="4" s="1"/>
  <c r="Z65" i="4" s="1"/>
  <c r="AA65" i="4" s="1"/>
  <c r="AB64" i="4" s="1"/>
  <c r="AC64" i="4" s="1"/>
  <c r="AD63" i="4" s="1"/>
  <c r="AE63" i="4" s="1"/>
  <c r="AF62" i="4" s="1"/>
  <c r="AG62" i="4" s="1"/>
  <c r="X68" i="4"/>
  <c r="Y68" i="4" s="1"/>
  <c r="X53" i="4"/>
  <c r="Y53" i="4" s="1"/>
  <c r="X55" i="4"/>
  <c r="Y55" i="4" s="1"/>
  <c r="Z73" i="4"/>
  <c r="AA73" i="4" s="1"/>
  <c r="AB72" i="4" s="1"/>
  <c r="AC72" i="4" s="1"/>
  <c r="Z75" i="4"/>
  <c r="AA75" i="4" s="1"/>
  <c r="V10" i="4"/>
  <c r="W10" i="4" s="1"/>
  <c r="U110" i="4"/>
  <c r="W151" i="4"/>
  <c r="R24" i="4"/>
  <c r="S24" i="4" s="1"/>
  <c r="Q124" i="4"/>
  <c r="T40" i="4"/>
  <c r="U40" i="4" s="1"/>
  <c r="S140" i="4"/>
  <c r="AB83" i="4"/>
  <c r="AC83" i="4" s="1"/>
  <c r="T35" i="4"/>
  <c r="U35" i="4" s="1"/>
  <c r="S135" i="4"/>
  <c r="V15" i="4"/>
  <c r="W15" i="4" s="1"/>
  <c r="U115" i="4"/>
  <c r="R27" i="4"/>
  <c r="S27" i="4" s="1"/>
  <c r="Q127" i="4"/>
  <c r="X65" i="4"/>
  <c r="Y65" i="4" s="1"/>
  <c r="Z64" i="4" s="1"/>
  <c r="AA64" i="4" s="1"/>
  <c r="AB63" i="4" s="1"/>
  <c r="AC63" i="4" s="1"/>
  <c r="AD62" i="4" s="1"/>
  <c r="AE62" i="4" s="1"/>
  <c r="AF61" i="4" s="1"/>
  <c r="AG61" i="4" s="1"/>
  <c r="X67" i="4"/>
  <c r="Y67" i="4" s="1"/>
  <c r="V16" i="4"/>
  <c r="W16" i="4" s="1"/>
  <c r="U116" i="4"/>
  <c r="R30" i="4"/>
  <c r="S30" i="4" s="1"/>
  <c r="T143" i="3"/>
  <c r="Q20" i="3"/>
  <c r="R20" i="3" s="1"/>
  <c r="P120" i="3"/>
  <c r="V150" i="3"/>
  <c r="S27" i="3"/>
  <c r="T27" i="3" s="1"/>
  <c r="R127" i="3"/>
  <c r="R143" i="3"/>
  <c r="S38" i="3"/>
  <c r="T38" i="3" s="1"/>
  <c r="R138" i="3"/>
  <c r="R125" i="3"/>
  <c r="Y84" i="3"/>
  <c r="Z84" i="3" s="1"/>
  <c r="Y82" i="3"/>
  <c r="Z82" i="3" s="1"/>
  <c r="AA81" i="3" s="1"/>
  <c r="AB81" i="3" s="1"/>
  <c r="Q38" i="3"/>
  <c r="R38" i="3" s="1"/>
  <c r="P138" i="3"/>
  <c r="S45" i="3"/>
  <c r="T45" i="3" s="1"/>
  <c r="R145" i="3"/>
  <c r="U47" i="3"/>
  <c r="V47" i="3" s="1"/>
  <c r="T147" i="3"/>
  <c r="W65" i="3"/>
  <c r="X65" i="3" s="1"/>
  <c r="Y64" i="3" s="1"/>
  <c r="Z64" i="3" s="1"/>
  <c r="W67" i="3"/>
  <c r="X67" i="3" s="1"/>
  <c r="Q9" i="3"/>
  <c r="R9" i="3" s="1"/>
  <c r="P109" i="3"/>
  <c r="Q15" i="3"/>
  <c r="R15" i="3" s="1"/>
  <c r="P115" i="3"/>
  <c r="Q22" i="3"/>
  <c r="R22" i="3" s="1"/>
  <c r="P122" i="3"/>
  <c r="Q23" i="3"/>
  <c r="R23" i="3" s="1"/>
  <c r="P123" i="3"/>
  <c r="Q8" i="3"/>
  <c r="R8" i="3" s="1"/>
  <c r="P108" i="3"/>
  <c r="Q6" i="3"/>
  <c r="R6" i="3" s="1"/>
  <c r="R105" i="3" s="1"/>
  <c r="P106" i="3"/>
  <c r="S31" i="3"/>
  <c r="T31" i="3" s="1"/>
  <c r="R131" i="3"/>
  <c r="U81" i="3"/>
  <c r="V81" i="3" s="1"/>
  <c r="W80" i="3" s="1"/>
  <c r="X80" i="3" s="1"/>
  <c r="Y79" i="3" s="1"/>
  <c r="Z79" i="3" s="1"/>
  <c r="AA78" i="3" s="1"/>
  <c r="AB78" i="3" s="1"/>
  <c r="AC77" i="3" s="1"/>
  <c r="AD77" i="3" s="1"/>
  <c r="U83" i="3"/>
  <c r="V83" i="3" s="1"/>
  <c r="Q34" i="3"/>
  <c r="R34" i="3" s="1"/>
  <c r="P134" i="3"/>
  <c r="U49" i="3"/>
  <c r="V49" i="3" s="1"/>
  <c r="T149" i="3"/>
  <c r="Q13" i="3"/>
  <c r="R13" i="3" s="1"/>
  <c r="P113" i="3"/>
  <c r="W56" i="3"/>
  <c r="X56" i="3" s="1"/>
  <c r="Y55" i="3" s="1"/>
  <c r="Z55" i="3" s="1"/>
  <c r="U74" i="3"/>
  <c r="V74" i="3" s="1"/>
  <c r="W73" i="3" s="1"/>
  <c r="X73" i="3" s="1"/>
  <c r="Y72" i="3" s="1"/>
  <c r="Z72" i="3" s="1"/>
  <c r="AA71" i="3" s="1"/>
  <c r="AB71" i="3" s="1"/>
  <c r="U76" i="3"/>
  <c r="V76" i="3" s="1"/>
  <c r="S29" i="3"/>
  <c r="T29" i="3" s="1"/>
  <c r="R129" i="3"/>
  <c r="S49" i="3"/>
  <c r="T49" i="3" s="1"/>
  <c r="R149" i="3"/>
  <c r="S51" i="3"/>
  <c r="T51" i="3" s="1"/>
  <c r="W58" i="3"/>
  <c r="X58" i="3" s="1"/>
  <c r="Y57" i="3" s="1"/>
  <c r="Z57" i="3" s="1"/>
  <c r="AA56" i="3" s="1"/>
  <c r="AB56" i="3" s="1"/>
  <c r="W60" i="3"/>
  <c r="X60" i="3" s="1"/>
  <c r="Q35" i="3"/>
  <c r="R35" i="3" s="1"/>
  <c r="P135" i="3"/>
  <c r="U69" i="3"/>
  <c r="V69" i="3" s="1"/>
  <c r="W68" i="3" s="1"/>
  <c r="X68" i="3" s="1"/>
  <c r="Y67" i="3" s="1"/>
  <c r="Z67" i="3" s="1"/>
  <c r="AA66" i="3" s="1"/>
  <c r="AB66" i="3" s="1"/>
  <c r="AC65" i="3" s="1"/>
  <c r="AD65" i="3" s="1"/>
  <c r="U71" i="3"/>
  <c r="V71" i="3" s="1"/>
  <c r="U58" i="3"/>
  <c r="V58" i="3" s="1"/>
  <c r="W57" i="3" s="1"/>
  <c r="X57" i="3" s="1"/>
  <c r="Y56" i="3" s="1"/>
  <c r="Z56" i="3" s="1"/>
  <c r="U60" i="3"/>
  <c r="V60" i="3" s="1"/>
  <c r="Q10" i="3"/>
  <c r="R10" i="3" s="1"/>
  <c r="P110" i="3"/>
  <c r="Q16" i="3"/>
  <c r="R16" i="3" s="1"/>
  <c r="P116" i="3"/>
  <c r="S47" i="3"/>
  <c r="T47" i="3" s="1"/>
  <c r="R147" i="3"/>
  <c r="W52" i="3"/>
  <c r="X52" i="3" s="1"/>
  <c r="V152" i="3"/>
  <c r="Q31" i="3"/>
  <c r="R31" i="3" s="1"/>
  <c r="P131" i="3"/>
  <c r="Q12" i="3"/>
  <c r="R12" i="3" s="1"/>
  <c r="P112" i="3"/>
  <c r="X153" i="3"/>
  <c r="Q27" i="3"/>
  <c r="R27" i="3" s="1"/>
  <c r="P127" i="3"/>
  <c r="Q18" i="3"/>
  <c r="R18" i="3" s="1"/>
  <c r="P118" i="3"/>
  <c r="Q37" i="3"/>
  <c r="R37" i="3" s="1"/>
  <c r="U45" i="3"/>
  <c r="V45" i="3" s="1"/>
  <c r="T145" i="3"/>
  <c r="Q14" i="3"/>
  <c r="R14" i="3" s="1"/>
  <c r="Q11" i="3"/>
  <c r="R11" i="3" s="1"/>
  <c r="P111" i="3"/>
  <c r="Q21" i="3"/>
  <c r="R21" i="3" s="1"/>
  <c r="P121" i="3"/>
  <c r="Q25" i="3"/>
  <c r="R25" i="3" s="1"/>
  <c r="P125" i="3"/>
  <c r="P117" i="3"/>
  <c r="Q17" i="3"/>
  <c r="R17" i="3" s="1"/>
  <c r="Q36" i="3"/>
  <c r="R36" i="3" s="1"/>
  <c r="P136" i="3"/>
  <c r="Q24" i="3"/>
  <c r="R24" i="3" s="1"/>
  <c r="S25" i="3" s="1"/>
  <c r="T25" i="3" s="1"/>
  <c r="P124" i="3"/>
  <c r="S40" i="3"/>
  <c r="T40" i="3" s="1"/>
  <c r="R140" i="3"/>
  <c r="S42" i="3"/>
  <c r="T42" i="3" s="1"/>
  <c r="R142" i="3"/>
  <c r="Q19" i="3"/>
  <c r="R19" i="3" s="1"/>
  <c r="P119" i="3"/>
  <c r="Q42" i="3"/>
  <c r="R42" i="3" s="1"/>
  <c r="S43" i="3" s="1"/>
  <c r="T43" i="3" s="1"/>
  <c r="P142" i="3"/>
  <c r="Q29" i="3"/>
  <c r="R29" i="3" s="1"/>
  <c r="P129" i="3"/>
  <c r="Q40" i="3"/>
  <c r="R40" i="3" s="1"/>
  <c r="P140" i="3"/>
  <c r="Q33" i="3"/>
  <c r="R33" i="3" s="1"/>
  <c r="T21" i="4" l="1"/>
  <c r="U21" i="4" s="1"/>
  <c r="S121" i="4"/>
  <c r="T22" i="4"/>
  <c r="U22" i="4" s="1"/>
  <c r="S122" i="4"/>
  <c r="T32" i="4"/>
  <c r="U32" i="4" s="1"/>
  <c r="S132" i="4"/>
  <c r="Y152" i="4"/>
  <c r="T41" i="4"/>
  <c r="U41" i="4" s="1"/>
  <c r="S141" i="4"/>
  <c r="X8" i="4"/>
  <c r="Y8" i="4" s="1"/>
  <c r="W108" i="4"/>
  <c r="T39" i="4"/>
  <c r="U39" i="4" s="1"/>
  <c r="S139" i="4"/>
  <c r="X13" i="4"/>
  <c r="Y13" i="4" s="1"/>
  <c r="W113" i="4"/>
  <c r="X54" i="4"/>
  <c r="Y54" i="4" s="1"/>
  <c r="X56" i="4"/>
  <c r="Y56" i="4" s="1"/>
  <c r="V41" i="4"/>
  <c r="W41" i="4" s="1"/>
  <c r="U141" i="4"/>
  <c r="T24" i="4"/>
  <c r="U24" i="4" s="1"/>
  <c r="S124" i="4"/>
  <c r="Z54" i="4"/>
  <c r="AA54" i="4" s="1"/>
  <c r="Z56" i="4"/>
  <c r="AA56" i="4" s="1"/>
  <c r="T29" i="4"/>
  <c r="U29" i="4" s="1"/>
  <c r="S129" i="4"/>
  <c r="X15" i="4"/>
  <c r="Y15" i="4" s="1"/>
  <c r="W115" i="4"/>
  <c r="T23" i="4"/>
  <c r="U23" i="4" s="1"/>
  <c r="S123" i="4"/>
  <c r="X12" i="4"/>
  <c r="Y12" i="4" s="1"/>
  <c r="W112" i="4"/>
  <c r="X52" i="4"/>
  <c r="Y52" i="4" s="1"/>
  <c r="W152" i="4"/>
  <c r="T31" i="4"/>
  <c r="U31" i="4" s="1"/>
  <c r="V34" i="4"/>
  <c r="W34" i="4" s="1"/>
  <c r="U134" i="4"/>
  <c r="U139" i="4"/>
  <c r="Z66" i="4"/>
  <c r="AA66" i="4" s="1"/>
  <c r="AB65" i="4" s="1"/>
  <c r="AC65" i="4" s="1"/>
  <c r="AD64" i="4" s="1"/>
  <c r="AE64" i="4" s="1"/>
  <c r="AF63" i="4" s="1"/>
  <c r="AG63" i="4" s="1"/>
  <c r="AH62" i="4" s="1"/>
  <c r="AI62" i="4" s="1"/>
  <c r="Z68" i="4"/>
  <c r="AA68" i="4" s="1"/>
  <c r="X11" i="4"/>
  <c r="Y11" i="4" s="1"/>
  <c r="W111" i="4"/>
  <c r="T25" i="4"/>
  <c r="U25" i="4" s="1"/>
  <c r="S125" i="4"/>
  <c r="X50" i="4"/>
  <c r="Y50" i="4" s="1"/>
  <c r="W150" i="4"/>
  <c r="X17" i="4"/>
  <c r="Y17" i="4" s="1"/>
  <c r="W117" i="4"/>
  <c r="T36" i="4"/>
  <c r="U36" i="4" s="1"/>
  <c r="S136" i="4"/>
  <c r="T34" i="4"/>
  <c r="U34" i="4" s="1"/>
  <c r="S134" i="4"/>
  <c r="AF84" i="4"/>
  <c r="AG84" i="4" s="1"/>
  <c r="AF82" i="4"/>
  <c r="AG82" i="4" s="1"/>
  <c r="AH81" i="4" s="1"/>
  <c r="AI81" i="4" s="1"/>
  <c r="X48" i="4"/>
  <c r="Y48" i="4" s="1"/>
  <c r="W148" i="4"/>
  <c r="T47" i="4"/>
  <c r="U47" i="4" s="1"/>
  <c r="S147" i="4"/>
  <c r="T49" i="4"/>
  <c r="U49" i="4" s="1"/>
  <c r="X18" i="4"/>
  <c r="Y18" i="4" s="1"/>
  <c r="W118" i="4"/>
  <c r="T43" i="4"/>
  <c r="U43" i="4" s="1"/>
  <c r="S143" i="4"/>
  <c r="X16" i="4"/>
  <c r="Y16" i="4" s="1"/>
  <c r="W116" i="4"/>
  <c r="T45" i="4"/>
  <c r="U45" i="4" s="1"/>
  <c r="S145" i="4"/>
  <c r="T27" i="4"/>
  <c r="U27" i="4" s="1"/>
  <c r="S127" i="4"/>
  <c r="W144" i="4"/>
  <c r="AB77" i="4"/>
  <c r="AC77" i="4" s="1"/>
  <c r="AD76" i="4" s="1"/>
  <c r="AE76" i="4" s="1"/>
  <c r="AF75" i="4" s="1"/>
  <c r="AG75" i="4" s="1"/>
  <c r="AH74" i="4" s="1"/>
  <c r="AI74" i="4" s="1"/>
  <c r="AB79" i="4"/>
  <c r="AC79" i="4" s="1"/>
  <c r="X7" i="4"/>
  <c r="Y7" i="4" s="1"/>
  <c r="W107" i="4"/>
  <c r="X14" i="4"/>
  <c r="Y14" i="4" s="1"/>
  <c r="W114" i="4"/>
  <c r="Z67" i="4"/>
  <c r="AA67" i="4" s="1"/>
  <c r="AB66" i="4" s="1"/>
  <c r="AC66" i="4" s="1"/>
  <c r="AD65" i="4" s="1"/>
  <c r="AE65" i="4" s="1"/>
  <c r="AF64" i="4" s="1"/>
  <c r="AG64" i="4" s="1"/>
  <c r="AH63" i="4" s="1"/>
  <c r="AI63" i="4" s="1"/>
  <c r="Z69" i="4"/>
  <c r="AA69" i="4" s="1"/>
  <c r="X46" i="4"/>
  <c r="Y46" i="4" s="1"/>
  <c r="W146" i="4"/>
  <c r="T26" i="4"/>
  <c r="U26" i="4" s="1"/>
  <c r="S126" i="4"/>
  <c r="X9" i="4"/>
  <c r="Y9" i="4" s="1"/>
  <c r="W109" i="4"/>
  <c r="V43" i="4"/>
  <c r="W43" i="4" s="1"/>
  <c r="X10" i="4"/>
  <c r="Y10" i="4" s="1"/>
  <c r="W110" i="4"/>
  <c r="X6" i="4"/>
  <c r="Y6" i="4" s="1"/>
  <c r="Y105" i="4" s="1"/>
  <c r="W106" i="4"/>
  <c r="AD82" i="4"/>
  <c r="AE82" i="4" s="1"/>
  <c r="AD84" i="4"/>
  <c r="AE84" i="4" s="1"/>
  <c r="AB74" i="4"/>
  <c r="AC74" i="4" s="1"/>
  <c r="AD73" i="4" s="1"/>
  <c r="AE73" i="4" s="1"/>
  <c r="AB76" i="4"/>
  <c r="AC76" i="4" s="1"/>
  <c r="T38" i="4"/>
  <c r="U38" i="4" s="1"/>
  <c r="V39" i="4" s="1"/>
  <c r="W39" i="4" s="1"/>
  <c r="S138" i="4"/>
  <c r="T37" i="4"/>
  <c r="U37" i="4" s="1"/>
  <c r="S137" i="4"/>
  <c r="T28" i="4"/>
  <c r="U28" i="4" s="1"/>
  <c r="S128" i="4"/>
  <c r="T30" i="4"/>
  <c r="U30" i="4" s="1"/>
  <c r="S130" i="4"/>
  <c r="V32" i="4"/>
  <c r="W32" i="4" s="1"/>
  <c r="U132" i="4"/>
  <c r="T142" i="3"/>
  <c r="W48" i="3"/>
  <c r="X48" i="3" s="1"/>
  <c r="V148" i="3"/>
  <c r="T124" i="3"/>
  <c r="T137" i="3"/>
  <c r="S8" i="3"/>
  <c r="T8" i="3" s="1"/>
  <c r="R108" i="3"/>
  <c r="S20" i="3"/>
  <c r="T20" i="3" s="1"/>
  <c r="R120" i="3"/>
  <c r="Y66" i="3"/>
  <c r="Z66" i="3" s="1"/>
  <c r="AA65" i="3" s="1"/>
  <c r="AB65" i="3" s="1"/>
  <c r="Y68" i="3"/>
  <c r="Z68" i="3" s="1"/>
  <c r="S30" i="3"/>
  <c r="T30" i="3" s="1"/>
  <c r="R130" i="3"/>
  <c r="X151" i="3"/>
  <c r="U50" i="3"/>
  <c r="V50" i="3" s="1"/>
  <c r="T150" i="3"/>
  <c r="U52" i="3"/>
  <c r="V52" i="3" s="1"/>
  <c r="S41" i="3"/>
  <c r="T41" i="3" s="1"/>
  <c r="R141" i="3"/>
  <c r="S10" i="3"/>
  <c r="T10" i="3" s="1"/>
  <c r="R110" i="3"/>
  <c r="U30" i="3"/>
  <c r="V30" i="3" s="1"/>
  <c r="T130" i="3"/>
  <c r="S24" i="3"/>
  <c r="T24" i="3" s="1"/>
  <c r="R124" i="3"/>
  <c r="S14" i="3"/>
  <c r="T14" i="3" s="1"/>
  <c r="R114" i="3"/>
  <c r="Y59" i="3"/>
  <c r="Z59" i="3" s="1"/>
  <c r="AA58" i="3" s="1"/>
  <c r="AB58" i="3" s="1"/>
  <c r="AC57" i="3" s="1"/>
  <c r="AD57" i="3" s="1"/>
  <c r="Y61" i="3"/>
  <c r="Z61" i="3" s="1"/>
  <c r="U39" i="3"/>
  <c r="V39" i="3" s="1"/>
  <c r="T139" i="3"/>
  <c r="S36" i="3"/>
  <c r="T36" i="3" s="1"/>
  <c r="U37" i="3" s="1"/>
  <c r="V37" i="3" s="1"/>
  <c r="R136" i="3"/>
  <c r="U46" i="3"/>
  <c r="V46" i="3" s="1"/>
  <c r="T146" i="3"/>
  <c r="U48" i="3"/>
  <c r="V48" i="3" s="1"/>
  <c r="T148" i="3"/>
  <c r="I186" i="3"/>
  <c r="W46" i="3"/>
  <c r="X46" i="3" s="1"/>
  <c r="V146" i="3"/>
  <c r="U26" i="3"/>
  <c r="V26" i="3" s="1"/>
  <c r="T126" i="3"/>
  <c r="S28" i="3"/>
  <c r="T28" i="3" s="1"/>
  <c r="R128" i="3"/>
  <c r="S13" i="3"/>
  <c r="T13" i="3" s="1"/>
  <c r="R113" i="3"/>
  <c r="V144" i="3"/>
  <c r="U28" i="3"/>
  <c r="V28" i="3" s="1"/>
  <c r="T128" i="3"/>
  <c r="U44" i="3"/>
  <c r="V44" i="3" s="1"/>
  <c r="T144" i="3"/>
  <c r="W82" i="3"/>
  <c r="X82" i="3" s="1"/>
  <c r="Y81" i="3" s="1"/>
  <c r="Z81" i="3" s="1"/>
  <c r="AA80" i="3" s="1"/>
  <c r="AB80" i="3" s="1"/>
  <c r="AC79" i="3" s="1"/>
  <c r="AD79" i="3" s="1"/>
  <c r="AE78" i="3" s="1"/>
  <c r="AF78" i="3" s="1"/>
  <c r="W84" i="3"/>
  <c r="X84" i="3" s="1"/>
  <c r="Y83" i="3" s="1"/>
  <c r="Z83" i="3" s="1"/>
  <c r="W75" i="3"/>
  <c r="X75" i="3" s="1"/>
  <c r="Y74" i="3" s="1"/>
  <c r="Z74" i="3" s="1"/>
  <c r="AA73" i="3" s="1"/>
  <c r="AB73" i="3" s="1"/>
  <c r="AC72" i="3" s="1"/>
  <c r="AD72" i="3" s="1"/>
  <c r="W77" i="3"/>
  <c r="X77" i="3" s="1"/>
  <c r="S7" i="3"/>
  <c r="T7" i="3" s="1"/>
  <c r="R107" i="3"/>
  <c r="W50" i="3"/>
  <c r="X50" i="3" s="1"/>
  <c r="Y51" i="3" s="1"/>
  <c r="Z51" i="3" s="1"/>
  <c r="S33" i="3"/>
  <c r="T33" i="3" s="1"/>
  <c r="R133" i="3"/>
  <c r="S32" i="3"/>
  <c r="T32" i="3" s="1"/>
  <c r="R132" i="3"/>
  <c r="S35" i="3"/>
  <c r="T35" i="3" s="1"/>
  <c r="R135" i="3"/>
  <c r="S26" i="3"/>
  <c r="T26" i="3" s="1"/>
  <c r="R126" i="3"/>
  <c r="S9" i="3"/>
  <c r="T9" i="3" s="1"/>
  <c r="R109" i="3"/>
  <c r="W70" i="3"/>
  <c r="X70" i="3" s="1"/>
  <c r="Y69" i="3" s="1"/>
  <c r="Z69" i="3" s="1"/>
  <c r="AA68" i="3" s="1"/>
  <c r="AB68" i="3" s="1"/>
  <c r="AC67" i="3" s="1"/>
  <c r="AD67" i="3" s="1"/>
  <c r="AE66" i="3" s="1"/>
  <c r="AF66" i="3" s="1"/>
  <c r="W72" i="3"/>
  <c r="X72" i="3" s="1"/>
  <c r="S11" i="3"/>
  <c r="T11" i="3" s="1"/>
  <c r="R111" i="3"/>
  <c r="S17" i="3"/>
  <c r="T17" i="3" s="1"/>
  <c r="R117" i="3"/>
  <c r="S16" i="3"/>
  <c r="T16" i="3" s="1"/>
  <c r="R116" i="3"/>
  <c r="Z154" i="3"/>
  <c r="S22" i="3"/>
  <c r="T22" i="3" s="1"/>
  <c r="R122" i="3"/>
  <c r="S37" i="3"/>
  <c r="T37" i="3" s="1"/>
  <c r="R137" i="3"/>
  <c r="S19" i="3"/>
  <c r="T19" i="3" s="1"/>
  <c r="R119" i="3"/>
  <c r="S18" i="3"/>
  <c r="T18" i="3" s="1"/>
  <c r="R118" i="3"/>
  <c r="U41" i="3"/>
  <c r="V41" i="3" s="1"/>
  <c r="T141" i="3"/>
  <c r="S23" i="3"/>
  <c r="T23" i="3" s="1"/>
  <c r="U24" i="3" s="1"/>
  <c r="V24" i="3" s="1"/>
  <c r="R123" i="3"/>
  <c r="S39" i="3"/>
  <c r="T39" i="3" s="1"/>
  <c r="R139" i="3"/>
  <c r="Y53" i="3"/>
  <c r="Z53" i="3" s="1"/>
  <c r="W59" i="3"/>
  <c r="X59" i="3" s="1"/>
  <c r="Y58" i="3" s="1"/>
  <c r="Z58" i="3" s="1"/>
  <c r="AA57" i="3" s="1"/>
  <c r="AB57" i="3" s="1"/>
  <c r="W61" i="3"/>
  <c r="X61" i="3" s="1"/>
  <c r="S34" i="3"/>
  <c r="T34" i="3" s="1"/>
  <c r="R134" i="3"/>
  <c r="AB155" i="3"/>
  <c r="S15" i="3"/>
  <c r="T15" i="3" s="1"/>
  <c r="R115" i="3"/>
  <c r="S12" i="3"/>
  <c r="T12" i="3" s="1"/>
  <c r="R112" i="3"/>
  <c r="S21" i="3"/>
  <c r="T21" i="3" s="1"/>
  <c r="R121" i="3"/>
  <c r="AA83" i="3"/>
  <c r="AB83" i="3" s="1"/>
  <c r="U43" i="3"/>
  <c r="V43" i="3" s="1"/>
  <c r="W44" i="3" s="1"/>
  <c r="X44" i="3" s="1"/>
  <c r="J186" i="3" l="1"/>
  <c r="V21" i="4"/>
  <c r="W21" i="4" s="1"/>
  <c r="U121" i="4"/>
  <c r="V20" i="4"/>
  <c r="W20" i="4" s="1"/>
  <c r="U120" i="4"/>
  <c r="W138" i="4"/>
  <c r="Z13" i="4"/>
  <c r="AA13" i="4" s="1"/>
  <c r="Y113" i="4"/>
  <c r="Z17" i="4"/>
  <c r="AA17" i="4" s="1"/>
  <c r="Y117" i="4"/>
  <c r="Z11" i="4"/>
  <c r="AA11" i="4" s="1"/>
  <c r="Y111" i="4"/>
  <c r="Z14" i="4"/>
  <c r="AA14" i="4" s="1"/>
  <c r="Y114" i="4"/>
  <c r="Z49" i="4"/>
  <c r="AA49" i="4" s="1"/>
  <c r="Y149" i="4"/>
  <c r="W131" i="4"/>
  <c r="V48" i="4"/>
  <c r="W48" i="4" s="1"/>
  <c r="U148" i="4"/>
  <c r="V50" i="4"/>
  <c r="W50" i="4" s="1"/>
  <c r="X42" i="4"/>
  <c r="Y42" i="4" s="1"/>
  <c r="W142" i="4"/>
  <c r="V46" i="4"/>
  <c r="W46" i="4" s="1"/>
  <c r="U146" i="4"/>
  <c r="Z10" i="4"/>
  <c r="AA10" i="4" s="1"/>
  <c r="Y110" i="4"/>
  <c r="V38" i="4"/>
  <c r="W38" i="4" s="1"/>
  <c r="U138" i="4"/>
  <c r="Z12" i="4"/>
  <c r="AA12" i="4" s="1"/>
  <c r="Y112" i="4"/>
  <c r="V27" i="4"/>
  <c r="W27" i="4" s="1"/>
  <c r="U127" i="4"/>
  <c r="X44" i="4"/>
  <c r="Y44" i="4" s="1"/>
  <c r="AB67" i="4"/>
  <c r="AC67" i="4" s="1"/>
  <c r="AD66" i="4" s="1"/>
  <c r="AE66" i="4" s="1"/>
  <c r="AF65" i="4" s="1"/>
  <c r="AG65" i="4" s="1"/>
  <c r="AH64" i="4" s="1"/>
  <c r="AI64" i="4" s="1"/>
  <c r="AJ63" i="4" s="1"/>
  <c r="AK63" i="4" s="1"/>
  <c r="AB69" i="4"/>
  <c r="AC69" i="4" s="1"/>
  <c r="V28" i="4"/>
  <c r="W28" i="4" s="1"/>
  <c r="U128" i="4"/>
  <c r="Z8" i="4"/>
  <c r="AA8" i="4" s="1"/>
  <c r="Y108" i="4"/>
  <c r="Z47" i="4"/>
  <c r="AA47" i="4" s="1"/>
  <c r="Y147" i="4"/>
  <c r="AB55" i="4"/>
  <c r="AC55" i="4" s="1"/>
  <c r="AB57" i="4"/>
  <c r="AC57" i="4" s="1"/>
  <c r="Z7" i="4"/>
  <c r="AA7" i="4" s="1"/>
  <c r="Y107" i="4"/>
  <c r="V24" i="4"/>
  <c r="W24" i="4" s="1"/>
  <c r="U124" i="4"/>
  <c r="Z6" i="4"/>
  <c r="AA6" i="4" s="1"/>
  <c r="AA105" i="4" s="1"/>
  <c r="Y106" i="4"/>
  <c r="Z9" i="4"/>
  <c r="AA9" i="4" s="1"/>
  <c r="Y109" i="4"/>
  <c r="V26" i="4"/>
  <c r="W26" i="4" s="1"/>
  <c r="U126" i="4"/>
  <c r="V36" i="4"/>
  <c r="W36" i="4" s="1"/>
  <c r="U136" i="4"/>
  <c r="V25" i="4"/>
  <c r="W25" i="4" s="1"/>
  <c r="U125" i="4"/>
  <c r="AH83" i="4"/>
  <c r="AI83" i="4" s="1"/>
  <c r="V40" i="4"/>
  <c r="W40" i="4" s="1"/>
  <c r="U140" i="4"/>
  <c r="V44" i="4"/>
  <c r="W44" i="4" s="1"/>
  <c r="U144" i="4"/>
  <c r="V23" i="4"/>
  <c r="W23" i="4" s="1"/>
  <c r="U123" i="4"/>
  <c r="V37" i="4"/>
  <c r="W37" i="4" s="1"/>
  <c r="U137" i="4"/>
  <c r="Z45" i="4"/>
  <c r="AA45" i="4" s="1"/>
  <c r="Y145" i="4"/>
  <c r="V33" i="4"/>
  <c r="W33" i="4" s="1"/>
  <c r="U133" i="4"/>
  <c r="X33" i="4"/>
  <c r="Y33" i="4" s="1"/>
  <c r="W133" i="4"/>
  <c r="AD75" i="4"/>
  <c r="AE75" i="4" s="1"/>
  <c r="AF74" i="4" s="1"/>
  <c r="AG74" i="4" s="1"/>
  <c r="AD77" i="4"/>
  <c r="AE77" i="4" s="1"/>
  <c r="Z15" i="4"/>
  <c r="AA15" i="4" s="1"/>
  <c r="Y115" i="4"/>
  <c r="V30" i="4"/>
  <c r="W30" i="4" s="1"/>
  <c r="U130" i="4"/>
  <c r="X40" i="4"/>
  <c r="Y40" i="4" s="1"/>
  <c r="W140" i="4"/>
  <c r="V22" i="4"/>
  <c r="W22" i="4" s="1"/>
  <c r="U122" i="4"/>
  <c r="V29" i="4"/>
  <c r="W29" i="4" s="1"/>
  <c r="U129" i="4"/>
  <c r="AB68" i="4"/>
  <c r="AC68" i="4" s="1"/>
  <c r="AD67" i="4" s="1"/>
  <c r="AE67" i="4" s="1"/>
  <c r="AF66" i="4" s="1"/>
  <c r="AG66" i="4" s="1"/>
  <c r="AH65" i="4" s="1"/>
  <c r="AI65" i="4" s="1"/>
  <c r="AJ64" i="4" s="1"/>
  <c r="AK64" i="4" s="1"/>
  <c r="AB70" i="4"/>
  <c r="AC70" i="4" s="1"/>
  <c r="V35" i="4"/>
  <c r="W35" i="4" s="1"/>
  <c r="U135" i="4"/>
  <c r="Z55" i="4"/>
  <c r="AA55" i="4" s="1"/>
  <c r="Z57" i="4"/>
  <c r="AA57" i="4" s="1"/>
  <c r="Z16" i="4"/>
  <c r="AA16" i="4" s="1"/>
  <c r="Y116" i="4"/>
  <c r="AD78" i="4"/>
  <c r="AE78" i="4" s="1"/>
  <c r="AF77" i="4" s="1"/>
  <c r="AG77" i="4" s="1"/>
  <c r="AH76" i="4" s="1"/>
  <c r="AI76" i="4" s="1"/>
  <c r="AJ75" i="4" s="1"/>
  <c r="AK75" i="4" s="1"/>
  <c r="AD80" i="4"/>
  <c r="AE80" i="4" s="1"/>
  <c r="AF79" i="4" s="1"/>
  <c r="AG79" i="4" s="1"/>
  <c r="AH78" i="4" s="1"/>
  <c r="AI78" i="4" s="1"/>
  <c r="AJ77" i="4" s="1"/>
  <c r="AK77" i="4" s="1"/>
  <c r="AL76" i="4" s="1"/>
  <c r="AM76" i="4" s="1"/>
  <c r="AA153" i="4"/>
  <c r="AF83" i="4"/>
  <c r="AG83" i="4" s="1"/>
  <c r="V42" i="4"/>
  <c r="W42" i="4" s="1"/>
  <c r="U142" i="4"/>
  <c r="Z51" i="4"/>
  <c r="AA51" i="4" s="1"/>
  <c r="Y151" i="4"/>
  <c r="Z53" i="4"/>
  <c r="AA53" i="4" s="1"/>
  <c r="Y153" i="4"/>
  <c r="V31" i="4"/>
  <c r="W31" i="4" s="1"/>
  <c r="U131" i="4"/>
  <c r="Z150" i="3"/>
  <c r="X143" i="3"/>
  <c r="V123" i="3"/>
  <c r="W40" i="3"/>
  <c r="X40" i="3" s="1"/>
  <c r="V140" i="3"/>
  <c r="U29" i="3"/>
  <c r="V29" i="3" s="1"/>
  <c r="T129" i="3"/>
  <c r="U10" i="3"/>
  <c r="V10" i="3" s="1"/>
  <c r="T110" i="3"/>
  <c r="T117" i="3"/>
  <c r="U17" i="3"/>
  <c r="V17" i="3" s="1"/>
  <c r="U19" i="3"/>
  <c r="V19" i="3" s="1"/>
  <c r="T119" i="3"/>
  <c r="U6" i="3"/>
  <c r="V6" i="3" s="1"/>
  <c r="V105" i="3" s="1"/>
  <c r="T106" i="3"/>
  <c r="Y45" i="3"/>
  <c r="Z45" i="3" s="1"/>
  <c r="X145" i="3"/>
  <c r="U9" i="3"/>
  <c r="V9" i="3" s="1"/>
  <c r="T109" i="3"/>
  <c r="W25" i="3"/>
  <c r="X25" i="3" s="1"/>
  <c r="V125" i="3"/>
  <c r="U7" i="3"/>
  <c r="V7" i="3" s="1"/>
  <c r="T107" i="3"/>
  <c r="U23" i="3"/>
  <c r="V23" i="3" s="1"/>
  <c r="T123" i="3"/>
  <c r="W45" i="3"/>
  <c r="X45" i="3" s="1"/>
  <c r="V145" i="3"/>
  <c r="U40" i="3"/>
  <c r="V40" i="3" s="1"/>
  <c r="T140" i="3"/>
  <c r="Y76" i="3"/>
  <c r="Z76" i="3" s="1"/>
  <c r="AA75" i="3" s="1"/>
  <c r="AB75" i="3" s="1"/>
  <c r="AC74" i="3" s="1"/>
  <c r="AD74" i="3" s="1"/>
  <c r="AE73" i="3" s="1"/>
  <c r="AF73" i="3" s="1"/>
  <c r="Y78" i="3"/>
  <c r="Z78" i="3" s="1"/>
  <c r="U14" i="3"/>
  <c r="V14" i="3" s="1"/>
  <c r="T114" i="3"/>
  <c r="Y71" i="3"/>
  <c r="Z71" i="3" s="1"/>
  <c r="AA70" i="3" s="1"/>
  <c r="AB70" i="3" s="1"/>
  <c r="AC69" i="3" s="1"/>
  <c r="AD69" i="3" s="1"/>
  <c r="AE68" i="3" s="1"/>
  <c r="AF68" i="3" s="1"/>
  <c r="AG67" i="3" s="1"/>
  <c r="AH67" i="3" s="1"/>
  <c r="Y73" i="3"/>
  <c r="Z73" i="3" s="1"/>
  <c r="AA84" i="3"/>
  <c r="AB84" i="3" s="1"/>
  <c r="AA82" i="3"/>
  <c r="AB82" i="3" s="1"/>
  <c r="AC81" i="3" s="1"/>
  <c r="AD81" i="3" s="1"/>
  <c r="AE80" i="3" s="1"/>
  <c r="AF80" i="3" s="1"/>
  <c r="AG79" i="3" s="1"/>
  <c r="AH79" i="3" s="1"/>
  <c r="W47" i="3"/>
  <c r="X47" i="3" s="1"/>
  <c r="V147" i="3"/>
  <c r="U35" i="3"/>
  <c r="V35" i="3" s="1"/>
  <c r="T135" i="3"/>
  <c r="W51" i="3"/>
  <c r="X51" i="3" s="1"/>
  <c r="V151" i="3"/>
  <c r="W53" i="3"/>
  <c r="X53" i="3" s="1"/>
  <c r="AA67" i="3"/>
  <c r="AB67" i="3" s="1"/>
  <c r="AC66" i="3" s="1"/>
  <c r="AD66" i="3" s="1"/>
  <c r="AA69" i="3"/>
  <c r="AB69" i="3" s="1"/>
  <c r="U18" i="3"/>
  <c r="V18" i="3" s="1"/>
  <c r="T118" i="3"/>
  <c r="Y60" i="3"/>
  <c r="Z60" i="3" s="1"/>
  <c r="AA59" i="3" s="1"/>
  <c r="AB59" i="3" s="1"/>
  <c r="AC58" i="3" s="1"/>
  <c r="AD58" i="3" s="1"/>
  <c r="Y62" i="3"/>
  <c r="Z62" i="3" s="1"/>
  <c r="W27" i="3"/>
  <c r="X27" i="3" s="1"/>
  <c r="V127" i="3"/>
  <c r="U38" i="3"/>
  <c r="V38" i="3" s="1"/>
  <c r="T138" i="3"/>
  <c r="W29" i="3"/>
  <c r="X29" i="3" s="1"/>
  <c r="V129" i="3"/>
  <c r="U25" i="3"/>
  <c r="V25" i="3" s="1"/>
  <c r="T125" i="3"/>
  <c r="W42" i="3"/>
  <c r="X42" i="3" s="1"/>
  <c r="Y43" i="3" s="1"/>
  <c r="Z43" i="3" s="1"/>
  <c r="V142" i="3"/>
  <c r="U20" i="3"/>
  <c r="V20" i="3" s="1"/>
  <c r="T120" i="3"/>
  <c r="U31" i="3"/>
  <c r="V31" i="3" s="1"/>
  <c r="T131" i="3"/>
  <c r="W38" i="3"/>
  <c r="X38" i="3" s="1"/>
  <c r="V138" i="3"/>
  <c r="W49" i="3"/>
  <c r="X49" i="3" s="1"/>
  <c r="V149" i="3"/>
  <c r="U13" i="3"/>
  <c r="V13" i="3" s="1"/>
  <c r="T113" i="3"/>
  <c r="U8" i="3"/>
  <c r="V8" i="3" s="1"/>
  <c r="T108" i="3"/>
  <c r="U21" i="3"/>
  <c r="V21" i="3" s="1"/>
  <c r="T121" i="3"/>
  <c r="V136" i="3"/>
  <c r="U34" i="3"/>
  <c r="V34" i="3" s="1"/>
  <c r="T134" i="3"/>
  <c r="U22" i="3"/>
  <c r="V22" i="3" s="1"/>
  <c r="T122" i="3"/>
  <c r="U15" i="3"/>
  <c r="V15" i="3" s="1"/>
  <c r="T115" i="3"/>
  <c r="U12" i="3"/>
  <c r="V12" i="3" s="1"/>
  <c r="T112" i="3"/>
  <c r="AA60" i="3"/>
  <c r="AB60" i="3" s="1"/>
  <c r="AC59" i="3" s="1"/>
  <c r="AD59" i="3" s="1"/>
  <c r="AE58" i="3" s="1"/>
  <c r="AF58" i="3" s="1"/>
  <c r="AA62" i="3"/>
  <c r="AB62" i="3" s="1"/>
  <c r="Y47" i="3"/>
  <c r="Z47" i="3" s="1"/>
  <c r="X147" i="3"/>
  <c r="U33" i="3"/>
  <c r="V33" i="3" s="1"/>
  <c r="T133" i="3"/>
  <c r="U36" i="3"/>
  <c r="V36" i="3" s="1"/>
  <c r="T136" i="3"/>
  <c r="AA52" i="3"/>
  <c r="AB52" i="3" s="1"/>
  <c r="Z152" i="3"/>
  <c r="AA54" i="3"/>
  <c r="AB54" i="3" s="1"/>
  <c r="U11" i="3"/>
  <c r="V11" i="3" s="1"/>
  <c r="T111" i="3"/>
  <c r="U32" i="3"/>
  <c r="V32" i="3" s="1"/>
  <c r="T132" i="3"/>
  <c r="AD156" i="3"/>
  <c r="W43" i="3"/>
  <c r="X43" i="3" s="1"/>
  <c r="V143" i="3"/>
  <c r="AC84" i="3"/>
  <c r="AD84" i="3" s="1"/>
  <c r="AE83" i="3" s="1"/>
  <c r="AF83" i="3" s="1"/>
  <c r="AC82" i="3"/>
  <c r="AD82" i="3" s="1"/>
  <c r="U16" i="3"/>
  <c r="V16" i="3" s="1"/>
  <c r="T116" i="3"/>
  <c r="Y49" i="3"/>
  <c r="Z49" i="3" s="1"/>
  <c r="X149" i="3"/>
  <c r="U27" i="3"/>
  <c r="V27" i="3" s="1"/>
  <c r="T127" i="3"/>
  <c r="U42" i="3"/>
  <c r="V42" i="3" s="1"/>
  <c r="X19" i="4" l="1"/>
  <c r="Y19" i="4" s="1"/>
  <c r="W119" i="4"/>
  <c r="W120" i="4"/>
  <c r="X20" i="4"/>
  <c r="Y20" i="4" s="1"/>
  <c r="X30" i="4"/>
  <c r="Y30" i="4" s="1"/>
  <c r="W130" i="4"/>
  <c r="AB54" i="4"/>
  <c r="AC54" i="4" s="1"/>
  <c r="AA154" i="4"/>
  <c r="AB14" i="4"/>
  <c r="AC14" i="4" s="1"/>
  <c r="AA114" i="4"/>
  <c r="X43" i="4"/>
  <c r="Y43" i="4" s="1"/>
  <c r="W143" i="4"/>
  <c r="AB48" i="4"/>
  <c r="AC48" i="4" s="1"/>
  <c r="AA148" i="4"/>
  <c r="AD69" i="4"/>
  <c r="AE69" i="4" s="1"/>
  <c r="AF68" i="4" s="1"/>
  <c r="AG68" i="4" s="1"/>
  <c r="AH67" i="4" s="1"/>
  <c r="AI67" i="4" s="1"/>
  <c r="AJ66" i="4" s="1"/>
  <c r="AK66" i="4" s="1"/>
  <c r="AL65" i="4" s="1"/>
  <c r="AM65" i="4" s="1"/>
  <c r="AD71" i="4"/>
  <c r="AE71" i="4" s="1"/>
  <c r="AJ82" i="4"/>
  <c r="AK82" i="4" s="1"/>
  <c r="AJ84" i="4"/>
  <c r="AK84" i="4" s="1"/>
  <c r="AL83" i="4" s="1"/>
  <c r="AM83" i="4" s="1"/>
  <c r="AC154" i="4"/>
  <c r="X37" i="4"/>
  <c r="Y37" i="4" s="1"/>
  <c r="W137" i="4"/>
  <c r="AB11" i="4"/>
  <c r="AC11" i="4" s="1"/>
  <c r="AA111" i="4"/>
  <c r="X24" i="4"/>
  <c r="Y24" i="4" s="1"/>
  <c r="W124" i="4"/>
  <c r="AB9" i="4"/>
  <c r="AC9" i="4" s="1"/>
  <c r="AA109" i="4"/>
  <c r="AD56" i="4"/>
  <c r="AE56" i="4" s="1"/>
  <c r="AD58" i="4"/>
  <c r="AE58" i="4" s="1"/>
  <c r="X41" i="4"/>
  <c r="Y41" i="4" s="1"/>
  <c r="W141" i="4"/>
  <c r="X32" i="4"/>
  <c r="Y32" i="4" s="1"/>
  <c r="W132" i="4"/>
  <c r="AB46" i="4"/>
  <c r="AC46" i="4" s="1"/>
  <c r="AA146" i="4"/>
  <c r="X35" i="4"/>
  <c r="Y35" i="4" s="1"/>
  <c r="W135" i="4"/>
  <c r="X45" i="4"/>
  <c r="Y45" i="4" s="1"/>
  <c r="W145" i="4"/>
  <c r="AB10" i="4"/>
  <c r="AC10" i="4" s="1"/>
  <c r="AA110" i="4"/>
  <c r="AB56" i="4"/>
  <c r="AC56" i="4" s="1"/>
  <c r="AB58" i="4"/>
  <c r="AC58" i="4" s="1"/>
  <c r="AB6" i="4"/>
  <c r="AC6" i="4" s="1"/>
  <c r="AC105" i="4" s="1"/>
  <c r="AA106" i="4"/>
  <c r="X28" i="4"/>
  <c r="Y28" i="4" s="1"/>
  <c r="W128" i="4"/>
  <c r="X23" i="4"/>
  <c r="Y23" i="4" s="1"/>
  <c r="W123" i="4"/>
  <c r="AH84" i="4"/>
  <c r="AI84" i="4" s="1"/>
  <c r="X25" i="4"/>
  <c r="Y25" i="4" s="1"/>
  <c r="W125" i="4"/>
  <c r="Z41" i="4"/>
  <c r="AA41" i="4" s="1"/>
  <c r="Y141" i="4"/>
  <c r="AB16" i="4"/>
  <c r="AC16" i="4" s="1"/>
  <c r="AA116" i="4"/>
  <c r="AF76" i="4"/>
  <c r="AG76" i="4" s="1"/>
  <c r="AH75" i="4" s="1"/>
  <c r="AI75" i="4" s="1"/>
  <c r="AF78" i="4"/>
  <c r="AG78" i="4" s="1"/>
  <c r="X34" i="4"/>
  <c r="Y34" i="4" s="1"/>
  <c r="W134" i="4"/>
  <c r="X27" i="4"/>
  <c r="Y27" i="4" s="1"/>
  <c r="W127" i="4"/>
  <c r="X49" i="4"/>
  <c r="Y49" i="4" s="1"/>
  <c r="W149" i="4"/>
  <c r="X51" i="4"/>
  <c r="Y51" i="4" s="1"/>
  <c r="X26" i="4"/>
  <c r="Y26" i="4" s="1"/>
  <c r="W126" i="4"/>
  <c r="AB50" i="4"/>
  <c r="AC50" i="4" s="1"/>
  <c r="AA150" i="4"/>
  <c r="AA144" i="4"/>
  <c r="AB8" i="4"/>
  <c r="AC8" i="4" s="1"/>
  <c r="AA108" i="4"/>
  <c r="AD68" i="4"/>
  <c r="AE68" i="4" s="1"/>
  <c r="AF67" i="4" s="1"/>
  <c r="AG67" i="4" s="1"/>
  <c r="AH66" i="4" s="1"/>
  <c r="AI66" i="4" s="1"/>
  <c r="AJ65" i="4" s="1"/>
  <c r="AK65" i="4" s="1"/>
  <c r="AL64" i="4" s="1"/>
  <c r="AM64" i="4" s="1"/>
  <c r="AD70" i="4"/>
  <c r="AE70" i="4" s="1"/>
  <c r="AB12" i="4"/>
  <c r="AC12" i="4" s="1"/>
  <c r="AA112" i="4"/>
  <c r="X39" i="4"/>
  <c r="Y39" i="4" s="1"/>
  <c r="W139" i="4"/>
  <c r="X21" i="4"/>
  <c r="Y21" i="4" s="1"/>
  <c r="W121" i="4"/>
  <c r="Y139" i="4"/>
  <c r="X47" i="4"/>
  <c r="Y47" i="4" s="1"/>
  <c r="W147" i="4"/>
  <c r="AF81" i="4"/>
  <c r="AG81" i="4" s="1"/>
  <c r="AH80" i="4" s="1"/>
  <c r="AI80" i="4" s="1"/>
  <c r="AJ79" i="4" s="1"/>
  <c r="AK79" i="4" s="1"/>
  <c r="AL78" i="4" s="1"/>
  <c r="AM78" i="4" s="1"/>
  <c r="AN77" i="4" s="1"/>
  <c r="AO77" i="4" s="1"/>
  <c r="AB13" i="4"/>
  <c r="AC13" i="4" s="1"/>
  <c r="AA113" i="4"/>
  <c r="Y132" i="4"/>
  <c r="Z43" i="4"/>
  <c r="AA43" i="4" s="1"/>
  <c r="AB44" i="4" s="1"/>
  <c r="AC44" i="4" s="1"/>
  <c r="Y143" i="4"/>
  <c r="AB52" i="4"/>
  <c r="AC52" i="4" s="1"/>
  <c r="AA152" i="4"/>
  <c r="AB7" i="4"/>
  <c r="AC7" i="4" s="1"/>
  <c r="AA107" i="4"/>
  <c r="X36" i="4"/>
  <c r="Y36" i="4" s="1"/>
  <c r="W136" i="4"/>
  <c r="AB15" i="4"/>
  <c r="AC15" i="4" s="1"/>
  <c r="AA115" i="4"/>
  <c r="X29" i="4"/>
  <c r="Y29" i="4" s="1"/>
  <c r="W129" i="4"/>
  <c r="X22" i="4"/>
  <c r="Y22" i="4" s="1"/>
  <c r="W122" i="4"/>
  <c r="X31" i="4"/>
  <c r="Y31" i="4" s="1"/>
  <c r="X38" i="4"/>
  <c r="Y38" i="4" s="1"/>
  <c r="Z39" i="4" s="1"/>
  <c r="AA39" i="4" s="1"/>
  <c r="Z142" i="3"/>
  <c r="W16" i="3"/>
  <c r="X16" i="3" s="1"/>
  <c r="V116" i="3"/>
  <c r="Y44" i="3"/>
  <c r="Z44" i="3" s="1"/>
  <c r="X144" i="3"/>
  <c r="W22" i="3"/>
  <c r="X22" i="3" s="1"/>
  <c r="V122" i="3"/>
  <c r="W9" i="3"/>
  <c r="X9" i="3" s="1"/>
  <c r="V109" i="3"/>
  <c r="W39" i="3"/>
  <c r="X39" i="3" s="1"/>
  <c r="V139" i="3"/>
  <c r="AA46" i="3"/>
  <c r="AB46" i="3" s="1"/>
  <c r="Z146" i="3"/>
  <c r="W6" i="3"/>
  <c r="X6" i="3" s="1"/>
  <c r="X105" i="3" s="1"/>
  <c r="V106" i="3"/>
  <c r="W28" i="3"/>
  <c r="X28" i="3" s="1"/>
  <c r="V128" i="3"/>
  <c r="W7" i="3"/>
  <c r="X7" i="3" s="1"/>
  <c r="V107" i="3"/>
  <c r="Y48" i="3"/>
  <c r="Z48" i="3" s="1"/>
  <c r="X148" i="3"/>
  <c r="Y26" i="3"/>
  <c r="Z26" i="3" s="1"/>
  <c r="X126" i="3"/>
  <c r="AC83" i="3"/>
  <c r="AD83" i="3" s="1"/>
  <c r="W18" i="3"/>
  <c r="X18" i="3" s="1"/>
  <c r="V118" i="3"/>
  <c r="W41" i="3"/>
  <c r="X41" i="3" s="1"/>
  <c r="V141" i="3"/>
  <c r="W14" i="3"/>
  <c r="X14" i="3" s="1"/>
  <c r="V114" i="3"/>
  <c r="AA61" i="3"/>
  <c r="AB61" i="3" s="1"/>
  <c r="AC60" i="3" s="1"/>
  <c r="AD60" i="3" s="1"/>
  <c r="AE59" i="3" s="1"/>
  <c r="AF59" i="3" s="1"/>
  <c r="AA63" i="3"/>
  <c r="AB63" i="3" s="1"/>
  <c r="AA72" i="3"/>
  <c r="AB72" i="3" s="1"/>
  <c r="AC71" i="3" s="1"/>
  <c r="AD71" i="3" s="1"/>
  <c r="AE70" i="3" s="1"/>
  <c r="AF70" i="3" s="1"/>
  <c r="AG69" i="3" s="1"/>
  <c r="AH69" i="3" s="1"/>
  <c r="AI68" i="3" s="1"/>
  <c r="AJ68" i="3" s="1"/>
  <c r="AA74" i="3"/>
  <c r="AB74" i="3" s="1"/>
  <c r="X124" i="3"/>
  <c r="Y39" i="3"/>
  <c r="Z39" i="3" s="1"/>
  <c r="X139" i="3"/>
  <c r="W24" i="3"/>
  <c r="X24" i="3" s="1"/>
  <c r="V124" i="3"/>
  <c r="AG84" i="3"/>
  <c r="AH84" i="3" s="1"/>
  <c r="AF157" i="3"/>
  <c r="W10" i="3"/>
  <c r="X10" i="3" s="1"/>
  <c r="V110" i="3"/>
  <c r="X137" i="3"/>
  <c r="AC53" i="3"/>
  <c r="AD53" i="3" s="1"/>
  <c r="AB153" i="3"/>
  <c r="AC55" i="3"/>
  <c r="AD55" i="3" s="1"/>
  <c r="W21" i="3"/>
  <c r="X21" i="3" s="1"/>
  <c r="V121" i="3"/>
  <c r="W8" i="3"/>
  <c r="X8" i="3" s="1"/>
  <c r="V108" i="3"/>
  <c r="W32" i="3"/>
  <c r="X32" i="3" s="1"/>
  <c r="V132" i="3"/>
  <c r="Y42" i="3"/>
  <c r="Z42" i="3" s="1"/>
  <c r="X142" i="3"/>
  <c r="AC61" i="3"/>
  <c r="AD61" i="3" s="1"/>
  <c r="AE60" i="3" s="1"/>
  <c r="AF60" i="3" s="1"/>
  <c r="AG59" i="3" s="1"/>
  <c r="AH59" i="3" s="1"/>
  <c r="AC63" i="3"/>
  <c r="AD63" i="3" s="1"/>
  <c r="W12" i="3"/>
  <c r="X12" i="3" s="1"/>
  <c r="V112" i="3"/>
  <c r="W30" i="3"/>
  <c r="X30" i="3" s="1"/>
  <c r="V130" i="3"/>
  <c r="W17" i="3"/>
  <c r="X17" i="3" s="1"/>
  <c r="V117" i="3"/>
  <c r="W13" i="3"/>
  <c r="X13" i="3" s="1"/>
  <c r="V113" i="3"/>
  <c r="W23" i="3"/>
  <c r="X23" i="3" s="1"/>
  <c r="V111" i="3"/>
  <c r="W11" i="3"/>
  <c r="X11" i="3" s="1"/>
  <c r="AA48" i="3"/>
  <c r="AB48" i="3" s="1"/>
  <c r="Z148" i="3"/>
  <c r="AB151" i="3"/>
  <c r="W33" i="3"/>
  <c r="X33" i="3" s="1"/>
  <c r="V133" i="3"/>
  <c r="AA44" i="3"/>
  <c r="AB44" i="3" s="1"/>
  <c r="Z144" i="3"/>
  <c r="Y28" i="3"/>
  <c r="Z28" i="3" s="1"/>
  <c r="X128" i="3"/>
  <c r="Y46" i="3"/>
  <c r="Z46" i="3" s="1"/>
  <c r="X146" i="3"/>
  <c r="W31" i="3"/>
  <c r="X31" i="3" s="1"/>
  <c r="V131" i="3"/>
  <c r="W19" i="3"/>
  <c r="X19" i="3" s="1"/>
  <c r="V119" i="3"/>
  <c r="AC68" i="3"/>
  <c r="AD68" i="3" s="1"/>
  <c r="AE67" i="3" s="1"/>
  <c r="AF67" i="3" s="1"/>
  <c r="AC70" i="3"/>
  <c r="AD70" i="3" s="1"/>
  <c r="AA77" i="3"/>
  <c r="AB77" i="3" s="1"/>
  <c r="AC76" i="3" s="1"/>
  <c r="AD76" i="3" s="1"/>
  <c r="AE75" i="3" s="1"/>
  <c r="AF75" i="3" s="1"/>
  <c r="AG74" i="3" s="1"/>
  <c r="AH74" i="3" s="1"/>
  <c r="AA79" i="3"/>
  <c r="AB79" i="3" s="1"/>
  <c r="K186" i="3"/>
  <c r="Y50" i="3"/>
  <c r="Z50" i="3" s="1"/>
  <c r="X150" i="3"/>
  <c r="W34" i="3"/>
  <c r="X34" i="3" s="1"/>
  <c r="V134" i="3"/>
  <c r="W37" i="3"/>
  <c r="X37" i="3" s="1"/>
  <c r="V137" i="3"/>
  <c r="W15" i="3"/>
  <c r="X15" i="3" s="1"/>
  <c r="V115" i="3"/>
  <c r="W35" i="3"/>
  <c r="X35" i="3" s="1"/>
  <c r="V135" i="3"/>
  <c r="W36" i="3"/>
  <c r="X36" i="3" s="1"/>
  <c r="W20" i="3"/>
  <c r="X20" i="3" s="1"/>
  <c r="V120" i="3"/>
  <c r="W26" i="3"/>
  <c r="X26" i="3" s="1"/>
  <c r="V126" i="3"/>
  <c r="Y41" i="3"/>
  <c r="Z41" i="3" s="1"/>
  <c r="X141" i="3"/>
  <c r="Y52" i="3"/>
  <c r="Z52" i="3" s="1"/>
  <c r="X152" i="3"/>
  <c r="Y54" i="3"/>
  <c r="Z54" i="3" s="1"/>
  <c r="AA50" i="3"/>
  <c r="AB50" i="3" s="1"/>
  <c r="AC51" i="3" s="1"/>
  <c r="AD51" i="3" s="1"/>
  <c r="L186" i="3" l="1"/>
  <c r="Y119" i="4"/>
  <c r="Z19" i="4"/>
  <c r="AA19" i="4" s="1"/>
  <c r="Z18" i="4"/>
  <c r="AA18" i="4" s="1"/>
  <c r="Y118" i="4"/>
  <c r="AD11" i="4"/>
  <c r="AE11" i="4" s="1"/>
  <c r="AC111" i="4"/>
  <c r="Z26" i="4"/>
  <c r="AA26" i="4" s="1"/>
  <c r="Y126" i="4"/>
  <c r="Z31" i="4"/>
  <c r="AA31" i="4" s="1"/>
  <c r="Y131" i="4"/>
  <c r="Z28" i="4"/>
  <c r="AA28" i="4" s="1"/>
  <c r="Y128" i="4"/>
  <c r="AH77" i="4"/>
  <c r="AI77" i="4" s="1"/>
  <c r="AJ76" i="4" s="1"/>
  <c r="AK76" i="4" s="1"/>
  <c r="AH79" i="4"/>
  <c r="AI79" i="4" s="1"/>
  <c r="AF57" i="4"/>
  <c r="AG57" i="4" s="1"/>
  <c r="AF59" i="4"/>
  <c r="AG59" i="4" s="1"/>
  <c r="AF70" i="4"/>
  <c r="AG70" i="4" s="1"/>
  <c r="AH69" i="4" s="1"/>
  <c r="AI69" i="4" s="1"/>
  <c r="AJ68" i="4" s="1"/>
  <c r="AK68" i="4" s="1"/>
  <c r="AL67" i="4" s="1"/>
  <c r="AM67" i="4" s="1"/>
  <c r="AN66" i="4" s="1"/>
  <c r="AO66" i="4" s="1"/>
  <c r="AF72" i="4"/>
  <c r="AG72" i="4" s="1"/>
  <c r="AD7" i="4"/>
  <c r="AE7" i="4" s="1"/>
  <c r="AC107" i="4"/>
  <c r="AE155" i="4"/>
  <c r="AD14" i="4"/>
  <c r="AE14" i="4" s="1"/>
  <c r="AC114" i="4"/>
  <c r="AD57" i="4"/>
  <c r="AE57" i="4" s="1"/>
  <c r="AD59" i="4"/>
  <c r="AE59" i="4" s="1"/>
  <c r="AN84" i="4"/>
  <c r="AO84" i="4" s="1"/>
  <c r="Z46" i="4"/>
  <c r="AA46" i="4" s="1"/>
  <c r="Y146" i="4"/>
  <c r="AD15" i="4"/>
  <c r="AE15" i="4" s="1"/>
  <c r="AC115" i="4"/>
  <c r="AD55" i="4"/>
  <c r="AE55" i="4" s="1"/>
  <c r="AC155" i="4"/>
  <c r="AD47" i="4"/>
  <c r="AE47" i="4" s="1"/>
  <c r="AC147" i="4"/>
  <c r="Z30" i="4"/>
  <c r="AA30" i="4" s="1"/>
  <c r="Y130" i="4"/>
  <c r="Z35" i="4"/>
  <c r="AA35" i="4" s="1"/>
  <c r="Y135" i="4"/>
  <c r="AD43" i="4"/>
  <c r="AE43" i="4" s="1"/>
  <c r="AC143" i="4"/>
  <c r="AD12" i="4"/>
  <c r="AE12" i="4" s="1"/>
  <c r="AC112" i="4"/>
  <c r="Z40" i="4"/>
  <c r="AA40" i="4" s="1"/>
  <c r="Y140" i="4"/>
  <c r="AB40" i="4"/>
  <c r="AC40" i="4" s="1"/>
  <c r="AA140" i="4"/>
  <c r="AD9" i="4"/>
  <c r="AE9" i="4" s="1"/>
  <c r="AC109" i="4"/>
  <c r="AD8" i="4"/>
  <c r="AE8" i="4" s="1"/>
  <c r="AC108" i="4"/>
  <c r="Z42" i="4"/>
  <c r="AA42" i="4" s="1"/>
  <c r="Y142" i="4"/>
  <c r="Z22" i="4"/>
  <c r="AA22" i="4" s="1"/>
  <c r="Y122" i="4"/>
  <c r="Z27" i="4"/>
  <c r="AA27" i="4" s="1"/>
  <c r="Y127" i="4"/>
  <c r="AD6" i="4"/>
  <c r="AE6" i="4" s="1"/>
  <c r="AE105" i="4" s="1"/>
  <c r="AC106" i="4"/>
  <c r="AB38" i="4"/>
  <c r="AC38" i="4" s="1"/>
  <c r="AA138" i="4"/>
  <c r="AD49" i="4"/>
  <c r="AE49" i="4" s="1"/>
  <c r="AC149" i="4"/>
  <c r="Z24" i="4"/>
  <c r="AA24" i="4" s="1"/>
  <c r="Y124" i="4"/>
  <c r="Z44" i="4"/>
  <c r="AA44" i="4" s="1"/>
  <c r="Y144" i="4"/>
  <c r="Z23" i="4"/>
  <c r="AA23" i="4" s="1"/>
  <c r="Y123" i="4"/>
  <c r="AD13" i="4"/>
  <c r="AE13" i="4" s="1"/>
  <c r="AC113" i="4"/>
  <c r="AD51" i="4"/>
  <c r="AE51" i="4" s="1"/>
  <c r="AC151" i="4"/>
  <c r="Z25" i="4"/>
  <c r="AA25" i="4" s="1"/>
  <c r="Y125" i="4"/>
  <c r="AH82" i="4"/>
  <c r="AI82" i="4" s="1"/>
  <c r="AJ81" i="4" s="1"/>
  <c r="AK81" i="4" s="1"/>
  <c r="AL80" i="4" s="1"/>
  <c r="AM80" i="4" s="1"/>
  <c r="AN79" i="4" s="1"/>
  <c r="AO79" i="4" s="1"/>
  <c r="AP78" i="4" s="1"/>
  <c r="AQ78" i="4" s="1"/>
  <c r="Z20" i="4"/>
  <c r="AA20" i="4" s="1"/>
  <c r="Y120" i="4"/>
  <c r="Z50" i="4"/>
  <c r="AA50" i="4" s="1"/>
  <c r="Y150" i="4"/>
  <c r="Z52" i="4"/>
  <c r="AA52" i="4" s="1"/>
  <c r="AJ83" i="4"/>
  <c r="AK83" i="4" s="1"/>
  <c r="Z34" i="4"/>
  <c r="AA34" i="4" s="1"/>
  <c r="Y134" i="4"/>
  <c r="AD10" i="4"/>
  <c r="AE10" i="4" s="1"/>
  <c r="AC110" i="4"/>
  <c r="AD53" i="4"/>
  <c r="AE53" i="4" s="1"/>
  <c r="AC153" i="4"/>
  <c r="Z32" i="4"/>
  <c r="AA32" i="4" s="1"/>
  <c r="AF69" i="4"/>
  <c r="AG69" i="4" s="1"/>
  <c r="AH68" i="4" s="1"/>
  <c r="AI68" i="4" s="1"/>
  <c r="AJ67" i="4" s="1"/>
  <c r="AK67" i="4" s="1"/>
  <c r="AL66" i="4" s="1"/>
  <c r="AM66" i="4" s="1"/>
  <c r="AN65" i="4" s="1"/>
  <c r="AO65" i="4" s="1"/>
  <c r="AF71" i="4"/>
  <c r="AG71" i="4" s="1"/>
  <c r="Z33" i="4"/>
  <c r="AA33" i="4" s="1"/>
  <c r="Y133" i="4"/>
  <c r="AB42" i="4"/>
  <c r="AC42" i="4" s="1"/>
  <c r="AA142" i="4"/>
  <c r="Z21" i="4"/>
  <c r="AA21" i="4" s="1"/>
  <c r="Y121" i="4"/>
  <c r="Z37" i="4"/>
  <c r="AA37" i="4" s="1"/>
  <c r="Y137" i="4"/>
  <c r="Z38" i="4"/>
  <c r="AA38" i="4" s="1"/>
  <c r="Y138" i="4"/>
  <c r="Z48" i="4"/>
  <c r="AA48" i="4" s="1"/>
  <c r="Y148" i="4"/>
  <c r="AD45" i="4"/>
  <c r="AE45" i="4" s="1"/>
  <c r="AC145" i="4"/>
  <c r="Z36" i="4"/>
  <c r="AA36" i="4" s="1"/>
  <c r="Y136" i="4"/>
  <c r="Z29" i="4"/>
  <c r="AA29" i="4" s="1"/>
  <c r="Y129" i="4"/>
  <c r="Y32" i="3"/>
  <c r="Z32" i="3" s="1"/>
  <c r="X132" i="3"/>
  <c r="AE62" i="3"/>
  <c r="AF62" i="3" s="1"/>
  <c r="AG61" i="3" s="1"/>
  <c r="AH61" i="3" s="1"/>
  <c r="AI60" i="3" s="1"/>
  <c r="AJ60" i="3" s="1"/>
  <c r="AE64" i="3"/>
  <c r="AF64" i="3" s="1"/>
  <c r="Y9" i="3"/>
  <c r="Z9" i="3" s="1"/>
  <c r="X109" i="3"/>
  <c r="Y13" i="3"/>
  <c r="Z13" i="3" s="1"/>
  <c r="X113" i="3"/>
  <c r="Y40" i="3"/>
  <c r="Z40" i="3" s="1"/>
  <c r="X140" i="3"/>
  <c r="AC45" i="3"/>
  <c r="AD45" i="3" s="1"/>
  <c r="AB145" i="3"/>
  <c r="AC47" i="3"/>
  <c r="AD47" i="3" s="1"/>
  <c r="AB147" i="3"/>
  <c r="Y17" i="3"/>
  <c r="Z17" i="3" s="1"/>
  <c r="X117" i="3"/>
  <c r="Y38" i="3"/>
  <c r="Z38" i="3" s="1"/>
  <c r="X138" i="3"/>
  <c r="Y19" i="3"/>
  <c r="Z19" i="3" s="1"/>
  <c r="X119" i="3"/>
  <c r="AD150" i="3"/>
  <c r="Y31" i="3"/>
  <c r="Z31" i="3" s="1"/>
  <c r="X131" i="3"/>
  <c r="AE84" i="3"/>
  <c r="AF84" i="3" s="1"/>
  <c r="AE82" i="3"/>
  <c r="AF82" i="3" s="1"/>
  <c r="AG81" i="3" s="1"/>
  <c r="AH81" i="3" s="1"/>
  <c r="AI80" i="3" s="1"/>
  <c r="AJ80" i="3" s="1"/>
  <c r="AA49" i="3"/>
  <c r="AB49" i="3" s="1"/>
  <c r="Z149" i="3"/>
  <c r="AH158" i="3"/>
  <c r="Y23" i="3"/>
  <c r="Z23" i="3" s="1"/>
  <c r="X123" i="3"/>
  <c r="Y8" i="3"/>
  <c r="Z8" i="3" s="1"/>
  <c r="X108" i="3"/>
  <c r="Y22" i="3"/>
  <c r="Z22" i="3" s="1"/>
  <c r="X122" i="3"/>
  <c r="Y7" i="3"/>
  <c r="Z7" i="3" s="1"/>
  <c r="X107" i="3"/>
  <c r="Z125" i="3"/>
  <c r="Y35" i="3"/>
  <c r="Z35" i="3" s="1"/>
  <c r="X135" i="3"/>
  <c r="Z138" i="3"/>
  <c r="Y21" i="3"/>
  <c r="Z21" i="3" s="1"/>
  <c r="X121" i="3"/>
  <c r="Z141" i="3"/>
  <c r="Y18" i="3"/>
  <c r="Z18" i="3" s="1"/>
  <c r="X118" i="3"/>
  <c r="Y12" i="3"/>
  <c r="Z12" i="3" s="1"/>
  <c r="X112" i="3"/>
  <c r="Y20" i="3"/>
  <c r="Z20" i="3" s="1"/>
  <c r="X120" i="3"/>
  <c r="AA47" i="3"/>
  <c r="AB47" i="3" s="1"/>
  <c r="Z147" i="3"/>
  <c r="AA40" i="3"/>
  <c r="AB40" i="3" s="1"/>
  <c r="Z140" i="3"/>
  <c r="AA45" i="3"/>
  <c r="AB45" i="3" s="1"/>
  <c r="Z145" i="3"/>
  <c r="AE54" i="3"/>
  <c r="AF54" i="3" s="1"/>
  <c r="AD154" i="3"/>
  <c r="AE56" i="3"/>
  <c r="AF56" i="3" s="1"/>
  <c r="Y24" i="3"/>
  <c r="Z24" i="3" s="1"/>
  <c r="AA25" i="3" s="1"/>
  <c r="AB25" i="3" s="1"/>
  <c r="AA43" i="3"/>
  <c r="AB43" i="3" s="1"/>
  <c r="Z143" i="3"/>
  <c r="Y36" i="3"/>
  <c r="Z36" i="3" s="1"/>
  <c r="X136" i="3"/>
  <c r="Y16" i="3"/>
  <c r="Z16" i="3" s="1"/>
  <c r="X116" i="3"/>
  <c r="AC73" i="3"/>
  <c r="AD73" i="3" s="1"/>
  <c r="AE72" i="3" s="1"/>
  <c r="AF72" i="3" s="1"/>
  <c r="AG71" i="3" s="1"/>
  <c r="AH71" i="3" s="1"/>
  <c r="AI70" i="3" s="1"/>
  <c r="AJ70" i="3" s="1"/>
  <c r="AK69" i="3" s="1"/>
  <c r="AL69" i="3" s="1"/>
  <c r="AC75" i="3"/>
  <c r="AD75" i="3" s="1"/>
  <c r="Y6" i="3"/>
  <c r="Z6" i="3" s="1"/>
  <c r="Z105" i="3" s="1"/>
  <c r="X106" i="3"/>
  <c r="Y11" i="3"/>
  <c r="Z11" i="3" s="1"/>
  <c r="X111" i="3"/>
  <c r="AC78" i="3"/>
  <c r="AD78" i="3" s="1"/>
  <c r="AE77" i="3" s="1"/>
  <c r="AF77" i="3" s="1"/>
  <c r="AG76" i="3" s="1"/>
  <c r="AH76" i="3" s="1"/>
  <c r="AI75" i="3" s="1"/>
  <c r="AJ75" i="3" s="1"/>
  <c r="AC80" i="3"/>
  <c r="AD80" i="3" s="1"/>
  <c r="Y10" i="3"/>
  <c r="Z10" i="3" s="1"/>
  <c r="X110" i="3"/>
  <c r="AA51" i="3"/>
  <c r="AB51" i="3" s="1"/>
  <c r="Z151" i="3"/>
  <c r="AA27" i="3"/>
  <c r="AB27" i="3" s="1"/>
  <c r="Z127" i="3"/>
  <c r="AE52" i="3"/>
  <c r="AF52" i="3" s="1"/>
  <c r="AD152" i="3"/>
  <c r="Y15" i="3"/>
  <c r="Z15" i="3" s="1"/>
  <c r="X115" i="3"/>
  <c r="AA53" i="3"/>
  <c r="AB53" i="3" s="1"/>
  <c r="Z153" i="3"/>
  <c r="AA55" i="3"/>
  <c r="AB55" i="3" s="1"/>
  <c r="Y14" i="3"/>
  <c r="Z14" i="3" s="1"/>
  <c r="X114" i="3"/>
  <c r="Y25" i="3"/>
  <c r="Z25" i="3" s="1"/>
  <c r="X125" i="3"/>
  <c r="Y33" i="3"/>
  <c r="Z33" i="3" s="1"/>
  <c r="X133" i="3"/>
  <c r="Y29" i="3"/>
  <c r="Z29" i="3" s="1"/>
  <c r="X129" i="3"/>
  <c r="AC62" i="3"/>
  <c r="AD62" i="3" s="1"/>
  <c r="AE61" i="3" s="1"/>
  <c r="AF61" i="3" s="1"/>
  <c r="AG60" i="3" s="1"/>
  <c r="AH60" i="3" s="1"/>
  <c r="AC64" i="3"/>
  <c r="AD64" i="3" s="1"/>
  <c r="Y27" i="3"/>
  <c r="Z27" i="3" s="1"/>
  <c r="X127" i="3"/>
  <c r="AE69" i="3"/>
  <c r="AF69" i="3" s="1"/>
  <c r="AG68" i="3" s="1"/>
  <c r="AH68" i="3" s="1"/>
  <c r="AE71" i="3"/>
  <c r="AF71" i="3" s="1"/>
  <c r="AC49" i="3"/>
  <c r="AD49" i="3" s="1"/>
  <c r="AB149" i="3"/>
  <c r="Y34" i="3"/>
  <c r="Z34" i="3" s="1"/>
  <c r="X134" i="3"/>
  <c r="Y30" i="3"/>
  <c r="Z30" i="3" s="1"/>
  <c r="X130" i="3"/>
  <c r="AB143" i="3"/>
  <c r="Y37" i="3"/>
  <c r="Z37" i="3" s="1"/>
  <c r="AA38" i="3" s="1"/>
  <c r="AB38" i="3" s="1"/>
  <c r="AA42" i="3"/>
  <c r="AB42" i="3" s="1"/>
  <c r="M186" i="3" l="1"/>
  <c r="AB17" i="4"/>
  <c r="AC17" i="4" s="1"/>
  <c r="AA117" i="4"/>
  <c r="AB18" i="4"/>
  <c r="AC18" i="4" s="1"/>
  <c r="AA118" i="4"/>
  <c r="AB35" i="4"/>
  <c r="AC35" i="4" s="1"/>
  <c r="AA135" i="4"/>
  <c r="AF54" i="4"/>
  <c r="AG54" i="4" s="1"/>
  <c r="AE154" i="4"/>
  <c r="AF44" i="4"/>
  <c r="AG44" i="4" s="1"/>
  <c r="AE144" i="4"/>
  <c r="AF11" i="4"/>
  <c r="AG11" i="4" s="1"/>
  <c r="AE111" i="4"/>
  <c r="AH71" i="4"/>
  <c r="AI71" i="4" s="1"/>
  <c r="AJ70" i="4" s="1"/>
  <c r="AK70" i="4" s="1"/>
  <c r="AL69" i="4" s="1"/>
  <c r="AM69" i="4" s="1"/>
  <c r="AN68" i="4" s="1"/>
  <c r="AO68" i="4" s="1"/>
  <c r="AP67" i="4" s="1"/>
  <c r="AQ67" i="4" s="1"/>
  <c r="AH73" i="4"/>
  <c r="AI73" i="4" s="1"/>
  <c r="AF52" i="4"/>
  <c r="AG52" i="4" s="1"/>
  <c r="AE152" i="4"/>
  <c r="AF50" i="4"/>
  <c r="AG50" i="4" s="1"/>
  <c r="AE150" i="4"/>
  <c r="AF14" i="4"/>
  <c r="AG14" i="4" s="1"/>
  <c r="AE114" i="4"/>
  <c r="AB31" i="4"/>
  <c r="AC31" i="4" s="1"/>
  <c r="AA131" i="4"/>
  <c r="AB47" i="4"/>
  <c r="AC47" i="4" s="1"/>
  <c r="AA147" i="4"/>
  <c r="AB26" i="4"/>
  <c r="AC26" i="4" s="1"/>
  <c r="AA126" i="4"/>
  <c r="AE142" i="4"/>
  <c r="AH58" i="4"/>
  <c r="AI58" i="4" s="1"/>
  <c r="AH60" i="4"/>
  <c r="AI60" i="4" s="1"/>
  <c r="AF6" i="4"/>
  <c r="AG6" i="4" s="1"/>
  <c r="AG105" i="4" s="1"/>
  <c r="AE106" i="4"/>
  <c r="AF9" i="4"/>
  <c r="AG9" i="4" s="1"/>
  <c r="AE109" i="4"/>
  <c r="AF12" i="4"/>
  <c r="AG12" i="4" s="1"/>
  <c r="AE112" i="4"/>
  <c r="AB45" i="4"/>
  <c r="AC45" i="4" s="1"/>
  <c r="AA145" i="4"/>
  <c r="AG156" i="4"/>
  <c r="AB37" i="4"/>
  <c r="AC37" i="4" s="1"/>
  <c r="AA137" i="4"/>
  <c r="AB21" i="4"/>
  <c r="AC21" i="4" s="1"/>
  <c r="AA121" i="4"/>
  <c r="AJ78" i="4"/>
  <c r="AK78" i="4" s="1"/>
  <c r="AL77" i="4" s="1"/>
  <c r="AM77" i="4" s="1"/>
  <c r="AJ80" i="4"/>
  <c r="AK80" i="4" s="1"/>
  <c r="AB33" i="4"/>
  <c r="AC33" i="4" s="1"/>
  <c r="AA133" i="4"/>
  <c r="AB22" i="4"/>
  <c r="AC22" i="4" s="1"/>
  <c r="AA122" i="4"/>
  <c r="AC137" i="4"/>
  <c r="AB36" i="4"/>
  <c r="AC36" i="4" s="1"/>
  <c r="AA136" i="4"/>
  <c r="AL84" i="4"/>
  <c r="AM84" i="4" s="1"/>
  <c r="AL82" i="4"/>
  <c r="AM82" i="4" s="1"/>
  <c r="AN81" i="4" s="1"/>
  <c r="AO81" i="4" s="1"/>
  <c r="AP80" i="4" s="1"/>
  <c r="AQ80" i="4" s="1"/>
  <c r="AR79" i="4" s="1"/>
  <c r="AS79" i="4" s="1"/>
  <c r="AB41" i="4"/>
  <c r="AC41" i="4" s="1"/>
  <c r="AA141" i="4"/>
  <c r="AB34" i="4"/>
  <c r="AC34" i="4" s="1"/>
  <c r="AA134" i="4"/>
  <c r="AF58" i="4"/>
  <c r="AG58" i="4" s="1"/>
  <c r="AF60" i="4"/>
  <c r="AG60" i="4" s="1"/>
  <c r="AB51" i="4"/>
  <c r="AC51" i="4" s="1"/>
  <c r="AA151" i="4"/>
  <c r="AB53" i="4"/>
  <c r="AC53" i="4" s="1"/>
  <c r="AB43" i="4"/>
  <c r="AC43" i="4" s="1"/>
  <c r="AA143" i="4"/>
  <c r="AF56" i="4"/>
  <c r="AG56" i="4" s="1"/>
  <c r="AE156" i="4"/>
  <c r="AB27" i="4"/>
  <c r="AC27" i="4" s="1"/>
  <c r="AA127" i="4"/>
  <c r="AB20" i="4"/>
  <c r="AC20" i="4" s="1"/>
  <c r="AA120" i="4"/>
  <c r="AF7" i="4"/>
  <c r="AG7" i="4" s="1"/>
  <c r="AE107" i="4"/>
  <c r="AB49" i="4"/>
  <c r="AC49" i="4" s="1"/>
  <c r="AA149" i="4"/>
  <c r="AB23" i="4"/>
  <c r="AC23" i="4" s="1"/>
  <c r="AA123" i="4"/>
  <c r="AB29" i="4"/>
  <c r="AC29" i="4" s="1"/>
  <c r="AA129" i="4"/>
  <c r="AF13" i="4"/>
  <c r="AG13" i="4" s="1"/>
  <c r="AE113" i="4"/>
  <c r="AB30" i="4"/>
  <c r="AC30" i="4" s="1"/>
  <c r="AA130" i="4"/>
  <c r="AB39" i="4"/>
  <c r="AC39" i="4" s="1"/>
  <c r="AA139" i="4"/>
  <c r="AD41" i="4"/>
  <c r="AE41" i="4" s="1"/>
  <c r="AC141" i="4"/>
  <c r="AF8" i="4"/>
  <c r="AG8" i="4" s="1"/>
  <c r="AE108" i="4"/>
  <c r="AB19" i="4"/>
  <c r="AC19" i="4" s="1"/>
  <c r="AA119" i="4"/>
  <c r="AF46" i="4"/>
  <c r="AG46" i="4" s="1"/>
  <c r="AE146" i="4"/>
  <c r="AB25" i="4"/>
  <c r="AC25" i="4" s="1"/>
  <c r="AA125" i="4"/>
  <c r="AB28" i="4"/>
  <c r="AC28" i="4" s="1"/>
  <c r="AA128" i="4"/>
  <c r="AB32" i="4"/>
  <c r="AC32" i="4" s="1"/>
  <c r="AA132" i="4"/>
  <c r="AF48" i="4"/>
  <c r="AG48" i="4" s="1"/>
  <c r="AE148" i="4"/>
  <c r="AD39" i="4"/>
  <c r="AE39" i="4" s="1"/>
  <c r="AC139" i="4"/>
  <c r="AB24" i="4"/>
  <c r="AC24" i="4" s="1"/>
  <c r="AA124" i="4"/>
  <c r="AH70" i="4"/>
  <c r="AI70" i="4" s="1"/>
  <c r="AJ69" i="4" s="1"/>
  <c r="AK69" i="4" s="1"/>
  <c r="AL68" i="4" s="1"/>
  <c r="AM68" i="4" s="1"/>
  <c r="AN67" i="4" s="1"/>
  <c r="AO67" i="4" s="1"/>
  <c r="AP66" i="4" s="1"/>
  <c r="AQ66" i="4" s="1"/>
  <c r="AH72" i="4"/>
  <c r="AI72" i="4" s="1"/>
  <c r="AF10" i="4"/>
  <c r="AG10" i="4" s="1"/>
  <c r="AE110" i="4"/>
  <c r="AB137" i="3"/>
  <c r="AC39" i="3"/>
  <c r="AD39" i="3" s="1"/>
  <c r="AB139" i="3"/>
  <c r="AE46" i="3"/>
  <c r="AF46" i="3" s="1"/>
  <c r="AD146" i="3"/>
  <c r="AA16" i="3"/>
  <c r="AB16" i="3" s="1"/>
  <c r="Z116" i="3"/>
  <c r="AA14" i="3"/>
  <c r="AB14" i="3" s="1"/>
  <c r="Z114" i="3"/>
  <c r="AE74" i="3"/>
  <c r="AF74" i="3" s="1"/>
  <c r="AG73" i="3" s="1"/>
  <c r="AH73" i="3" s="1"/>
  <c r="AI72" i="3" s="1"/>
  <c r="AJ72" i="3" s="1"/>
  <c r="AK71" i="3" s="1"/>
  <c r="AL71" i="3" s="1"/>
  <c r="AM70" i="3" s="1"/>
  <c r="AN70" i="3" s="1"/>
  <c r="AE76" i="3"/>
  <c r="AF76" i="3" s="1"/>
  <c r="AA34" i="3"/>
  <c r="AB34" i="3" s="1"/>
  <c r="Z134" i="3"/>
  <c r="AC48" i="3"/>
  <c r="AD48" i="3" s="1"/>
  <c r="AB148" i="3"/>
  <c r="AA26" i="3"/>
  <c r="AB26" i="3" s="1"/>
  <c r="Z126" i="3"/>
  <c r="AD144" i="3"/>
  <c r="AE48" i="3"/>
  <c r="AF48" i="3" s="1"/>
  <c r="AD148" i="3"/>
  <c r="AE63" i="3"/>
  <c r="AF63" i="3" s="1"/>
  <c r="AG62" i="3" s="1"/>
  <c r="AH62" i="3" s="1"/>
  <c r="AI61" i="3" s="1"/>
  <c r="AJ61" i="3" s="1"/>
  <c r="AE65" i="3"/>
  <c r="AF65" i="3" s="1"/>
  <c r="AC46" i="3"/>
  <c r="AD46" i="3" s="1"/>
  <c r="AB146" i="3"/>
  <c r="AG83" i="3"/>
  <c r="AH83" i="3" s="1"/>
  <c r="AC44" i="3"/>
  <c r="AD44" i="3" s="1"/>
  <c r="AB144" i="3"/>
  <c r="AC41" i="3"/>
  <c r="AD41" i="3" s="1"/>
  <c r="AB141" i="3"/>
  <c r="AF151" i="3"/>
  <c r="AA15" i="3"/>
  <c r="AB15" i="3" s="1"/>
  <c r="Z115" i="3"/>
  <c r="AA39" i="3"/>
  <c r="AB39" i="3" s="1"/>
  <c r="Z139" i="3"/>
  <c r="AA20" i="3"/>
  <c r="AB20" i="3" s="1"/>
  <c r="Z120" i="3"/>
  <c r="AA19" i="3"/>
  <c r="AB19" i="3" s="1"/>
  <c r="Z119" i="3"/>
  <c r="AB124" i="3"/>
  <c r="AA30" i="3"/>
  <c r="AB30" i="3" s="1"/>
  <c r="Z130" i="3"/>
  <c r="AC54" i="3"/>
  <c r="AD54" i="3" s="1"/>
  <c r="AB154" i="3"/>
  <c r="AC56" i="3"/>
  <c r="AD56" i="3" s="1"/>
  <c r="AC52" i="3"/>
  <c r="AD52" i="3" s="1"/>
  <c r="AB152" i="3"/>
  <c r="AA12" i="3"/>
  <c r="AB12" i="3" s="1"/>
  <c r="Z112" i="3"/>
  <c r="AG70" i="3"/>
  <c r="AH70" i="3" s="1"/>
  <c r="AI69" i="3" s="1"/>
  <c r="AJ69" i="3" s="1"/>
  <c r="AG72" i="3"/>
  <c r="AH72" i="3" s="1"/>
  <c r="Z111" i="3"/>
  <c r="AA11" i="3"/>
  <c r="AB11" i="3" s="1"/>
  <c r="AA6" i="3"/>
  <c r="AB6" i="3" s="1"/>
  <c r="AB105" i="3" s="1"/>
  <c r="Z106" i="3"/>
  <c r="AE50" i="3"/>
  <c r="AF50" i="3" s="1"/>
  <c r="AG51" i="3" s="1"/>
  <c r="AH51" i="3" s="1"/>
  <c r="AA35" i="3"/>
  <c r="AB35" i="3" s="1"/>
  <c r="Z135" i="3"/>
  <c r="AC43" i="3"/>
  <c r="AD43" i="3" s="1"/>
  <c r="AE44" i="3" s="1"/>
  <c r="AF44" i="3" s="1"/>
  <c r="AA32" i="3"/>
  <c r="AB32" i="3" s="1"/>
  <c r="Z132" i="3"/>
  <c r="AC50" i="3"/>
  <c r="AD50" i="3" s="1"/>
  <c r="AB150" i="3"/>
  <c r="AB142" i="3"/>
  <c r="AA8" i="3"/>
  <c r="AB8" i="3" s="1"/>
  <c r="Z108" i="3"/>
  <c r="AA22" i="3"/>
  <c r="AB22" i="3" s="1"/>
  <c r="Z122" i="3"/>
  <c r="AA23" i="3"/>
  <c r="AB23" i="3" s="1"/>
  <c r="AC24" i="3" s="1"/>
  <c r="AD24" i="3" s="1"/>
  <c r="Z123" i="3"/>
  <c r="AA17" i="3"/>
  <c r="AB17" i="3" s="1"/>
  <c r="Z117" i="3"/>
  <c r="AA21" i="3"/>
  <c r="AB21" i="3" s="1"/>
  <c r="Z121" i="3"/>
  <c r="AA18" i="3"/>
  <c r="AB18" i="3" s="1"/>
  <c r="Z118" i="3"/>
  <c r="AG63" i="3"/>
  <c r="AH63" i="3" s="1"/>
  <c r="AI62" i="3" s="1"/>
  <c r="AJ62" i="3" s="1"/>
  <c r="AK61" i="3" s="1"/>
  <c r="AL61" i="3" s="1"/>
  <c r="AG65" i="3"/>
  <c r="AH65" i="3" s="1"/>
  <c r="AA10" i="3"/>
  <c r="AB10" i="3" s="1"/>
  <c r="Z110" i="3"/>
  <c r="AA36" i="3"/>
  <c r="AB36" i="3" s="1"/>
  <c r="Z136" i="3"/>
  <c r="AA29" i="3"/>
  <c r="AB29" i="3" s="1"/>
  <c r="Z129" i="3"/>
  <c r="AA24" i="3"/>
  <c r="AB24" i="3" s="1"/>
  <c r="Z124" i="3"/>
  <c r="AA9" i="3"/>
  <c r="AB9" i="3" s="1"/>
  <c r="Z109" i="3"/>
  <c r="AG55" i="3"/>
  <c r="AH55" i="3" s="1"/>
  <c r="AF155" i="3"/>
  <c r="AG57" i="3"/>
  <c r="AH57" i="3" s="1"/>
  <c r="AJ159" i="3"/>
  <c r="AA28" i="3"/>
  <c r="AB28" i="3" s="1"/>
  <c r="Z128" i="3"/>
  <c r="AE79" i="3"/>
  <c r="AF79" i="3" s="1"/>
  <c r="AG78" i="3" s="1"/>
  <c r="AH78" i="3" s="1"/>
  <c r="AI77" i="3" s="1"/>
  <c r="AJ77" i="3" s="1"/>
  <c r="AK76" i="3" s="1"/>
  <c r="AL76" i="3" s="1"/>
  <c r="AE81" i="3"/>
  <c r="AF81" i="3" s="1"/>
  <c r="AA41" i="3"/>
  <c r="AB41" i="3" s="1"/>
  <c r="AA7" i="3"/>
  <c r="AB7" i="3" s="1"/>
  <c r="Z107" i="3"/>
  <c r="AA37" i="3"/>
  <c r="AB37" i="3" s="1"/>
  <c r="Z137" i="3"/>
  <c r="AC26" i="3"/>
  <c r="AD26" i="3" s="1"/>
  <c r="AB126" i="3"/>
  <c r="AA33" i="3"/>
  <c r="AB33" i="3" s="1"/>
  <c r="Z133" i="3"/>
  <c r="AA13" i="3"/>
  <c r="AB13" i="3" s="1"/>
  <c r="Z113" i="3"/>
  <c r="AG53" i="3"/>
  <c r="AH53" i="3" s="1"/>
  <c r="AF153" i="3"/>
  <c r="AA31" i="3"/>
  <c r="AB31" i="3" s="1"/>
  <c r="Z131" i="3"/>
  <c r="N186" i="3" l="1"/>
  <c r="AC117" i="4"/>
  <c r="AD17" i="4"/>
  <c r="AE17" i="4" s="1"/>
  <c r="AD16" i="4"/>
  <c r="AE16" i="4" s="1"/>
  <c r="AC116" i="4"/>
  <c r="AH11" i="4"/>
  <c r="AI11" i="4" s="1"/>
  <c r="AG111" i="4"/>
  <c r="AJ71" i="4"/>
  <c r="AK71" i="4" s="1"/>
  <c r="AL70" i="4" s="1"/>
  <c r="AM70" i="4" s="1"/>
  <c r="AN69" i="4" s="1"/>
  <c r="AO69" i="4" s="1"/>
  <c r="AP68" i="4" s="1"/>
  <c r="AQ68" i="4" s="1"/>
  <c r="AR67" i="4" s="1"/>
  <c r="AS67" i="4" s="1"/>
  <c r="AJ73" i="4"/>
  <c r="AK73" i="4" s="1"/>
  <c r="AD22" i="4"/>
  <c r="AE22" i="4" s="1"/>
  <c r="AC122" i="4"/>
  <c r="AH59" i="4"/>
  <c r="AI59" i="4" s="1"/>
  <c r="AH61" i="4"/>
  <c r="AI61" i="4" s="1"/>
  <c r="AH13" i="4"/>
  <c r="AI13" i="4" s="1"/>
  <c r="AG113" i="4"/>
  <c r="AH57" i="4"/>
  <c r="AI57" i="4" s="1"/>
  <c r="AG157" i="4"/>
  <c r="AJ59" i="4"/>
  <c r="AK59" i="4" s="1"/>
  <c r="AJ61" i="4"/>
  <c r="AK61" i="4" s="1"/>
  <c r="AH51" i="4"/>
  <c r="AI51" i="4" s="1"/>
  <c r="AG151" i="4"/>
  <c r="AD21" i="4"/>
  <c r="AE21" i="4" s="1"/>
  <c r="AC121" i="4"/>
  <c r="AD18" i="4"/>
  <c r="AE18" i="4" s="1"/>
  <c r="AC118" i="4"/>
  <c r="AE138" i="4"/>
  <c r="AD40" i="4"/>
  <c r="AE40" i="4" s="1"/>
  <c r="AC140" i="4"/>
  <c r="AI157" i="4"/>
  <c r="AJ72" i="4"/>
  <c r="AK72" i="4" s="1"/>
  <c r="AL71" i="4" s="1"/>
  <c r="AM71" i="4" s="1"/>
  <c r="AN70" i="4" s="1"/>
  <c r="AO70" i="4" s="1"/>
  <c r="AP69" i="4" s="1"/>
  <c r="AQ69" i="4" s="1"/>
  <c r="AR68" i="4" s="1"/>
  <c r="AS68" i="4" s="1"/>
  <c r="AJ74" i="4"/>
  <c r="AK74" i="4" s="1"/>
  <c r="AH45" i="4"/>
  <c r="AI45" i="4" s="1"/>
  <c r="AG145" i="4"/>
  <c r="AD32" i="4"/>
  <c r="AE32" i="4" s="1"/>
  <c r="AC132" i="4"/>
  <c r="AD48" i="4"/>
  <c r="AE48" i="4" s="1"/>
  <c r="AC148" i="4"/>
  <c r="AF40" i="4"/>
  <c r="AG40" i="4" s="1"/>
  <c r="AE140" i="4"/>
  <c r="AD19" i="4"/>
  <c r="AE19" i="4" s="1"/>
  <c r="AC119" i="4"/>
  <c r="AH47" i="4"/>
  <c r="AI47" i="4" s="1"/>
  <c r="AG147" i="4"/>
  <c r="AN83" i="4"/>
  <c r="AO83" i="4" s="1"/>
  <c r="AD20" i="4"/>
  <c r="AE20" i="4" s="1"/>
  <c r="AC120" i="4"/>
  <c r="AF42" i="4"/>
  <c r="AG42" i="4" s="1"/>
  <c r="AH10" i="4"/>
  <c r="AI10" i="4" s="1"/>
  <c r="AG110" i="4"/>
  <c r="AD31" i="4"/>
  <c r="AE31" i="4" s="1"/>
  <c r="AC131" i="4"/>
  <c r="AD35" i="4"/>
  <c r="AE35" i="4" s="1"/>
  <c r="AC135" i="4"/>
  <c r="AD36" i="4"/>
  <c r="AE36" i="4" s="1"/>
  <c r="AC136" i="4"/>
  <c r="AD25" i="4"/>
  <c r="AE25" i="4" s="1"/>
  <c r="AC125" i="4"/>
  <c r="AH49" i="4"/>
  <c r="AI49" i="4" s="1"/>
  <c r="AG149" i="4"/>
  <c r="AD29" i="4"/>
  <c r="AE29" i="4" s="1"/>
  <c r="AC129" i="4"/>
  <c r="AH55" i="4"/>
  <c r="AI55" i="4" s="1"/>
  <c r="AG155" i="4"/>
  <c r="AH43" i="4"/>
  <c r="AI43" i="4" s="1"/>
  <c r="AG143" i="4"/>
  <c r="AL79" i="4"/>
  <c r="AM79" i="4" s="1"/>
  <c r="AN78" i="4" s="1"/>
  <c r="AO78" i="4" s="1"/>
  <c r="AL81" i="4"/>
  <c r="AM81" i="4" s="1"/>
  <c r="AH7" i="4"/>
  <c r="AI7" i="4" s="1"/>
  <c r="AG107" i="4"/>
  <c r="AD38" i="4"/>
  <c r="AE38" i="4" s="1"/>
  <c r="AC138" i="4"/>
  <c r="AD27" i="4"/>
  <c r="AE27" i="4" s="1"/>
  <c r="AC127" i="4"/>
  <c r="AD37" i="4"/>
  <c r="AE37" i="4" s="1"/>
  <c r="AD46" i="4"/>
  <c r="AE46" i="4" s="1"/>
  <c r="AC146" i="4"/>
  <c r="AH8" i="4"/>
  <c r="AI8" i="4" s="1"/>
  <c r="AG108" i="4"/>
  <c r="AH6" i="4"/>
  <c r="AI6" i="4" s="1"/>
  <c r="AI105" i="4" s="1"/>
  <c r="AG106" i="4"/>
  <c r="AH9" i="4"/>
  <c r="AI9" i="4" s="1"/>
  <c r="AG109" i="4"/>
  <c r="AH12" i="4"/>
  <c r="AI12" i="4" s="1"/>
  <c r="AG112" i="4"/>
  <c r="AD42" i="4"/>
  <c r="AE42" i="4" s="1"/>
  <c r="AC142" i="4"/>
  <c r="AH53" i="4"/>
  <c r="AI53" i="4" s="1"/>
  <c r="AG153" i="4"/>
  <c r="AD50" i="4"/>
  <c r="AE50" i="4" s="1"/>
  <c r="AC150" i="4"/>
  <c r="AD23" i="4"/>
  <c r="AE23" i="4" s="1"/>
  <c r="AC123" i="4"/>
  <c r="AD26" i="4"/>
  <c r="AE26" i="4" s="1"/>
  <c r="AC126" i="4"/>
  <c r="AD24" i="4"/>
  <c r="AE24" i="4" s="1"/>
  <c r="AC124" i="4"/>
  <c r="AD52" i="4"/>
  <c r="AE52" i="4" s="1"/>
  <c r="AC152" i="4"/>
  <c r="AD54" i="4"/>
  <c r="AE54" i="4" s="1"/>
  <c r="AD44" i="4"/>
  <c r="AE44" i="4" s="1"/>
  <c r="AC144" i="4"/>
  <c r="AD30" i="4"/>
  <c r="AE30" i="4" s="1"/>
  <c r="AC130" i="4"/>
  <c r="AD33" i="4"/>
  <c r="AE33" i="4" s="1"/>
  <c r="AC133" i="4"/>
  <c r="AD28" i="4"/>
  <c r="AE28" i="4" s="1"/>
  <c r="AC128" i="4"/>
  <c r="AD34" i="4"/>
  <c r="AE34" i="4" s="1"/>
  <c r="AC134" i="4"/>
  <c r="AH150" i="3"/>
  <c r="AD123" i="3"/>
  <c r="AD143" i="3"/>
  <c r="AC29" i="3"/>
  <c r="AD29" i="3" s="1"/>
  <c r="AB129" i="3"/>
  <c r="AC36" i="3"/>
  <c r="AD36" i="3" s="1"/>
  <c r="AB136" i="3"/>
  <c r="AE45" i="3"/>
  <c r="AF45" i="3" s="1"/>
  <c r="AD145" i="3"/>
  <c r="AC34" i="3"/>
  <c r="AD34" i="3" s="1"/>
  <c r="AB134" i="3"/>
  <c r="AC23" i="3"/>
  <c r="AD23" i="3" s="1"/>
  <c r="AB123" i="3"/>
  <c r="AG64" i="3"/>
  <c r="AH64" i="3" s="1"/>
  <c r="AI63" i="3" s="1"/>
  <c r="AJ63" i="3" s="1"/>
  <c r="AK62" i="3" s="1"/>
  <c r="AL62" i="3" s="1"/>
  <c r="AG66" i="3"/>
  <c r="AH66" i="3" s="1"/>
  <c r="AE47" i="3"/>
  <c r="AF47" i="3" s="1"/>
  <c r="AD147" i="3"/>
  <c r="AI71" i="3"/>
  <c r="AJ71" i="3" s="1"/>
  <c r="AK70" i="3" s="1"/>
  <c r="AL70" i="3" s="1"/>
  <c r="AI73" i="3"/>
  <c r="AJ73" i="3" s="1"/>
  <c r="AB119" i="3"/>
  <c r="AC19" i="3"/>
  <c r="AD19" i="3" s="1"/>
  <c r="AC13" i="3"/>
  <c r="AD13" i="3" s="1"/>
  <c r="AB113" i="3"/>
  <c r="AC8" i="3"/>
  <c r="AD8" i="3" s="1"/>
  <c r="AB108" i="3"/>
  <c r="AC18" i="3"/>
  <c r="AD18" i="3" s="1"/>
  <c r="AB118" i="3"/>
  <c r="AC30" i="3"/>
  <c r="AD30" i="3" s="1"/>
  <c r="AB130" i="3"/>
  <c r="AE25" i="3"/>
  <c r="AF25" i="3" s="1"/>
  <c r="AD125" i="3"/>
  <c r="AI84" i="3"/>
  <c r="AJ84" i="3" s="1"/>
  <c r="AI82" i="3"/>
  <c r="AJ82" i="3" s="1"/>
  <c r="AK81" i="3" s="1"/>
  <c r="AL81" i="3" s="1"/>
  <c r="AC10" i="3"/>
  <c r="AD10" i="3" s="1"/>
  <c r="AB110" i="3"/>
  <c r="AG80" i="3"/>
  <c r="AH80" i="3" s="1"/>
  <c r="AI79" i="3" s="1"/>
  <c r="AJ79" i="3" s="1"/>
  <c r="AK78" i="3" s="1"/>
  <c r="AL78" i="3" s="1"/>
  <c r="AM77" i="3" s="1"/>
  <c r="AN77" i="3" s="1"/>
  <c r="AG82" i="3"/>
  <c r="AH82" i="3" s="1"/>
  <c r="AC9" i="3"/>
  <c r="AD9" i="3" s="1"/>
  <c r="AB109" i="3"/>
  <c r="AC38" i="3"/>
  <c r="AD38" i="3" s="1"/>
  <c r="AB138" i="3"/>
  <c r="AG47" i="3"/>
  <c r="AH47" i="3" s="1"/>
  <c r="AF147" i="3"/>
  <c r="AC15" i="3"/>
  <c r="AD15" i="3" s="1"/>
  <c r="AB115" i="3"/>
  <c r="AC22" i="3"/>
  <c r="AD22" i="3" s="1"/>
  <c r="AB122" i="3"/>
  <c r="AC16" i="3"/>
  <c r="AD16" i="3" s="1"/>
  <c r="AB116" i="3"/>
  <c r="AC40" i="3"/>
  <c r="AD40" i="3" s="1"/>
  <c r="AB140" i="3"/>
  <c r="AC14" i="3"/>
  <c r="AD14" i="3" s="1"/>
  <c r="AB114" i="3"/>
  <c r="AF143" i="3"/>
  <c r="AG45" i="3"/>
  <c r="AH45" i="3" s="1"/>
  <c r="AF145" i="3"/>
  <c r="AG75" i="3"/>
  <c r="AH75" i="3" s="1"/>
  <c r="AI74" i="3" s="1"/>
  <c r="AJ74" i="3" s="1"/>
  <c r="AK73" i="3" s="1"/>
  <c r="AL73" i="3" s="1"/>
  <c r="AM72" i="3" s="1"/>
  <c r="AN72" i="3" s="1"/>
  <c r="AO71" i="3" s="1"/>
  <c r="AP71" i="3" s="1"/>
  <c r="AG77" i="3"/>
  <c r="AH77" i="3" s="1"/>
  <c r="AC21" i="3"/>
  <c r="AD21" i="3" s="1"/>
  <c r="AB121" i="3"/>
  <c r="AE51" i="3"/>
  <c r="AF51" i="3" s="1"/>
  <c r="AD151" i="3"/>
  <c r="AC7" i="3"/>
  <c r="AD7" i="3" s="1"/>
  <c r="AB107" i="3"/>
  <c r="AI52" i="3"/>
  <c r="AJ52" i="3" s="1"/>
  <c r="AH152" i="3"/>
  <c r="AI64" i="3"/>
  <c r="AJ64" i="3" s="1"/>
  <c r="AK63" i="3" s="1"/>
  <c r="AL63" i="3" s="1"/>
  <c r="AM62" i="3" s="1"/>
  <c r="AN62" i="3" s="1"/>
  <c r="AI66" i="3"/>
  <c r="AJ66" i="3" s="1"/>
  <c r="AC11" i="3"/>
  <c r="AD11" i="3" s="1"/>
  <c r="AB111" i="3"/>
  <c r="AC12" i="3"/>
  <c r="AD12" i="3" s="1"/>
  <c r="AB112" i="3"/>
  <c r="AI56" i="3"/>
  <c r="AJ56" i="3" s="1"/>
  <c r="AH156" i="3"/>
  <c r="AI58" i="3"/>
  <c r="AJ58" i="3" s="1"/>
  <c r="AC17" i="3"/>
  <c r="AD17" i="3" s="1"/>
  <c r="AB117" i="3"/>
  <c r="AE55" i="3"/>
  <c r="AF55" i="3" s="1"/>
  <c r="AD155" i="3"/>
  <c r="AE57" i="3"/>
  <c r="AF57" i="3" s="1"/>
  <c r="AD138" i="3"/>
  <c r="AG49" i="3"/>
  <c r="AH49" i="3" s="1"/>
  <c r="AF149" i="3"/>
  <c r="AC28" i="3"/>
  <c r="AD28" i="3" s="1"/>
  <c r="AB128" i="3"/>
  <c r="AC35" i="3"/>
  <c r="AD35" i="3" s="1"/>
  <c r="AB135" i="3"/>
  <c r="AC27" i="3"/>
  <c r="AD27" i="3" s="1"/>
  <c r="AB127" i="3"/>
  <c r="AL160" i="3"/>
  <c r="AC31" i="3"/>
  <c r="AD31" i="3" s="1"/>
  <c r="AB131" i="3"/>
  <c r="AC33" i="3"/>
  <c r="AD33" i="3" s="1"/>
  <c r="AB133" i="3"/>
  <c r="AE49" i="3"/>
  <c r="AF49" i="3" s="1"/>
  <c r="AD149" i="3"/>
  <c r="AC32" i="3"/>
  <c r="AD32" i="3" s="1"/>
  <c r="AB132" i="3"/>
  <c r="AI54" i="3"/>
  <c r="AJ54" i="3" s="1"/>
  <c r="AH154" i="3"/>
  <c r="AC20" i="3"/>
  <c r="AD20" i="3" s="1"/>
  <c r="AB120" i="3"/>
  <c r="AE42" i="3"/>
  <c r="AF42" i="3" s="1"/>
  <c r="AG43" i="3" s="1"/>
  <c r="AH43" i="3" s="1"/>
  <c r="AD142" i="3"/>
  <c r="AE53" i="3"/>
  <c r="AF53" i="3" s="1"/>
  <c r="AD153" i="3"/>
  <c r="AC25" i="3"/>
  <c r="AD25" i="3" s="1"/>
  <c r="AB125" i="3"/>
  <c r="AC6" i="3"/>
  <c r="AD6" i="3" s="1"/>
  <c r="AD105" i="3" s="1"/>
  <c r="AB106" i="3"/>
  <c r="AC42" i="3"/>
  <c r="AD42" i="3" s="1"/>
  <c r="AE43" i="3" s="1"/>
  <c r="AF43" i="3" s="1"/>
  <c r="AE40" i="3"/>
  <c r="AF40" i="3" s="1"/>
  <c r="AD140" i="3"/>
  <c r="AC37" i="3"/>
  <c r="AD37" i="3" s="1"/>
  <c r="AF15" i="4" l="1"/>
  <c r="AG15" i="4" s="1"/>
  <c r="AE115" i="4"/>
  <c r="O186" i="3"/>
  <c r="AF16" i="4"/>
  <c r="AG16" i="4" s="1"/>
  <c r="AE116" i="4"/>
  <c r="AJ54" i="4"/>
  <c r="AK54" i="4" s="1"/>
  <c r="AI154" i="4"/>
  <c r="AJ44" i="4"/>
  <c r="AK44" i="4" s="1"/>
  <c r="AI144" i="4"/>
  <c r="AF27" i="4"/>
  <c r="AG27" i="4" s="1"/>
  <c r="AE127" i="4"/>
  <c r="AF19" i="4"/>
  <c r="AG19" i="4" s="1"/>
  <c r="AE119" i="4"/>
  <c r="AL73" i="4"/>
  <c r="AM73" i="4" s="1"/>
  <c r="AN72" i="4" s="1"/>
  <c r="AO72" i="4" s="1"/>
  <c r="AP71" i="4" s="1"/>
  <c r="AQ71" i="4" s="1"/>
  <c r="AR70" i="4" s="1"/>
  <c r="AS70" i="4" s="1"/>
  <c r="AT69" i="4" s="1"/>
  <c r="AU69" i="4" s="1"/>
  <c r="AL75" i="4"/>
  <c r="AM75" i="4" s="1"/>
  <c r="AJ50" i="4"/>
  <c r="AK50" i="4" s="1"/>
  <c r="AI150" i="4"/>
  <c r="AF49" i="4"/>
  <c r="AG49" i="4" s="1"/>
  <c r="AE149" i="4"/>
  <c r="AJ48" i="4"/>
  <c r="AK48" i="4" s="1"/>
  <c r="AI148" i="4"/>
  <c r="AJ46" i="4"/>
  <c r="AK46" i="4" s="1"/>
  <c r="AI146" i="4"/>
  <c r="AJ7" i="4"/>
  <c r="AK7" i="4" s="1"/>
  <c r="AI107" i="4"/>
  <c r="AJ56" i="4"/>
  <c r="AK56" i="4" s="1"/>
  <c r="AI156" i="4"/>
  <c r="AJ52" i="4"/>
  <c r="AK52" i="4" s="1"/>
  <c r="AI152" i="4"/>
  <c r="AF24" i="4"/>
  <c r="AG24" i="4" s="1"/>
  <c r="AE124" i="4"/>
  <c r="AL60" i="4"/>
  <c r="AM60" i="4" s="1"/>
  <c r="AL62" i="4"/>
  <c r="AM62" i="4" s="1"/>
  <c r="AF29" i="4"/>
  <c r="AG29" i="4" s="1"/>
  <c r="AE129" i="4"/>
  <c r="AF37" i="4"/>
  <c r="AG37" i="4" s="1"/>
  <c r="AE137" i="4"/>
  <c r="AJ12" i="4"/>
  <c r="AK12" i="4" s="1"/>
  <c r="AI112" i="4"/>
  <c r="AF45" i="4"/>
  <c r="AG45" i="4" s="1"/>
  <c r="AE145" i="4"/>
  <c r="AF36" i="4"/>
  <c r="AG36" i="4" s="1"/>
  <c r="AE136" i="4"/>
  <c r="AF41" i="4"/>
  <c r="AG41" i="4" s="1"/>
  <c r="AE141" i="4"/>
  <c r="AF35" i="4"/>
  <c r="AG35" i="4" s="1"/>
  <c r="AE135" i="4"/>
  <c r="AF18" i="4"/>
  <c r="AG18" i="4" s="1"/>
  <c r="AE118" i="4"/>
  <c r="AF39" i="4"/>
  <c r="AG39" i="4" s="1"/>
  <c r="AE139" i="4"/>
  <c r="AJ60" i="4"/>
  <c r="AK60" i="4" s="1"/>
  <c r="AJ62" i="4"/>
  <c r="AK62" i="4" s="1"/>
  <c r="AF25" i="4"/>
  <c r="AG25" i="4" s="1"/>
  <c r="AE125" i="4"/>
  <c r="AF26" i="4"/>
  <c r="AG26" i="4" s="1"/>
  <c r="AE126" i="4"/>
  <c r="AJ58" i="4"/>
  <c r="AK58" i="4" s="1"/>
  <c r="AI158" i="4"/>
  <c r="AF28" i="4"/>
  <c r="AG28" i="4" s="1"/>
  <c r="AE128" i="4"/>
  <c r="AF53" i="4"/>
  <c r="AG53" i="4" s="1"/>
  <c r="AE153" i="4"/>
  <c r="AF55" i="4"/>
  <c r="AG55" i="4" s="1"/>
  <c r="AJ11" i="4"/>
  <c r="AK11" i="4" s="1"/>
  <c r="AI111" i="4"/>
  <c r="AN80" i="4"/>
  <c r="AO80" i="4" s="1"/>
  <c r="AP79" i="4" s="1"/>
  <c r="AQ79" i="4" s="1"/>
  <c r="AN82" i="4"/>
  <c r="AO82" i="4" s="1"/>
  <c r="AF34" i="4"/>
  <c r="AG34" i="4" s="1"/>
  <c r="AE134" i="4"/>
  <c r="AG139" i="4"/>
  <c r="AF38" i="4"/>
  <c r="AG38" i="4" s="1"/>
  <c r="AK158" i="4"/>
  <c r="AF32" i="4"/>
  <c r="AG32" i="4" s="1"/>
  <c r="AE132" i="4"/>
  <c r="AF21" i="4"/>
  <c r="AG21" i="4" s="1"/>
  <c r="AE121" i="4"/>
  <c r="AF43" i="4"/>
  <c r="AG43" i="4" s="1"/>
  <c r="AE143" i="4"/>
  <c r="AF51" i="4"/>
  <c r="AG51" i="4" s="1"/>
  <c r="AE151" i="4"/>
  <c r="AJ8" i="4"/>
  <c r="AK8" i="4" s="1"/>
  <c r="AI108" i="4"/>
  <c r="AF30" i="4"/>
  <c r="AG30" i="4" s="1"/>
  <c r="AE130" i="4"/>
  <c r="AF47" i="4"/>
  <c r="AG47" i="4" s="1"/>
  <c r="AE147" i="4"/>
  <c r="AL72" i="4"/>
  <c r="AM72" i="4" s="1"/>
  <c r="AN71" i="4" s="1"/>
  <c r="AO71" i="4" s="1"/>
  <c r="AP70" i="4" s="1"/>
  <c r="AQ70" i="4" s="1"/>
  <c r="AR69" i="4" s="1"/>
  <c r="AS69" i="4" s="1"/>
  <c r="AT68" i="4" s="1"/>
  <c r="AU68" i="4" s="1"/>
  <c r="AL74" i="4"/>
  <c r="AM74" i="4" s="1"/>
  <c r="AP82" i="4"/>
  <c r="AQ82" i="4" s="1"/>
  <c r="AR81" i="4" s="1"/>
  <c r="AS81" i="4" s="1"/>
  <c r="AT80" i="4" s="1"/>
  <c r="AU80" i="4" s="1"/>
  <c r="AP84" i="4"/>
  <c r="AQ84" i="4" s="1"/>
  <c r="AR83" i="4" s="1"/>
  <c r="AS83" i="4" s="1"/>
  <c r="AJ6" i="4"/>
  <c r="AK6" i="4" s="1"/>
  <c r="AK105" i="4" s="1"/>
  <c r="AI106" i="4"/>
  <c r="AF17" i="4"/>
  <c r="AG17" i="4" s="1"/>
  <c r="AE117" i="4"/>
  <c r="AF23" i="4"/>
  <c r="AG23" i="4" s="1"/>
  <c r="AE123" i="4"/>
  <c r="AI142" i="4"/>
  <c r="AJ9" i="4"/>
  <c r="AK9" i="4" s="1"/>
  <c r="AI109" i="4"/>
  <c r="AF31" i="4"/>
  <c r="AG31" i="4" s="1"/>
  <c r="AE131" i="4"/>
  <c r="AF22" i="4"/>
  <c r="AG22" i="4" s="1"/>
  <c r="AE122" i="4"/>
  <c r="AF33" i="4"/>
  <c r="AG33" i="4" s="1"/>
  <c r="AE133" i="4"/>
  <c r="AH41" i="4"/>
  <c r="AI41" i="4" s="1"/>
  <c r="AG141" i="4"/>
  <c r="AF20" i="4"/>
  <c r="AG20" i="4" s="1"/>
  <c r="AE120" i="4"/>
  <c r="AJ10" i="4"/>
  <c r="AK10" i="4" s="1"/>
  <c r="AI110" i="4"/>
  <c r="AF142" i="3"/>
  <c r="AE33" i="3"/>
  <c r="AF33" i="3" s="1"/>
  <c r="AD133" i="3"/>
  <c r="AE11" i="3"/>
  <c r="AF11" i="3" s="1"/>
  <c r="AD111" i="3"/>
  <c r="AE7" i="3"/>
  <c r="AF7" i="3" s="1"/>
  <c r="AD107" i="3"/>
  <c r="AE36" i="3"/>
  <c r="AF36" i="3" s="1"/>
  <c r="AD136" i="3"/>
  <c r="AE8" i="3"/>
  <c r="AF8" i="3" s="1"/>
  <c r="AD108" i="3"/>
  <c r="AE12" i="3"/>
  <c r="AF12" i="3" s="1"/>
  <c r="AD112" i="3"/>
  <c r="AG44" i="3"/>
  <c r="AH44" i="3" s="1"/>
  <c r="AF144" i="3"/>
  <c r="AK53" i="3"/>
  <c r="AL53" i="3" s="1"/>
  <c r="AJ153" i="3"/>
  <c r="AG48" i="3"/>
  <c r="AH48" i="3" s="1"/>
  <c r="AF148" i="3"/>
  <c r="AE19" i="3"/>
  <c r="AF19" i="3" s="1"/>
  <c r="AD119" i="3"/>
  <c r="AI46" i="3"/>
  <c r="AJ46" i="3" s="1"/>
  <c r="AH146" i="3"/>
  <c r="AE31" i="3"/>
  <c r="AF31" i="3" s="1"/>
  <c r="AD131" i="3"/>
  <c r="AF139" i="3"/>
  <c r="AG56" i="3"/>
  <c r="AH56" i="3" s="1"/>
  <c r="AF156" i="3"/>
  <c r="AG58" i="3"/>
  <c r="AH58" i="3" s="1"/>
  <c r="AE18" i="3"/>
  <c r="AF18" i="3" s="1"/>
  <c r="AD118" i="3"/>
  <c r="AE35" i="3"/>
  <c r="AF35" i="3" s="1"/>
  <c r="AD135" i="3"/>
  <c r="AE34" i="3"/>
  <c r="AF34" i="3" s="1"/>
  <c r="AD134" i="3"/>
  <c r="AI44" i="3"/>
  <c r="AJ44" i="3" s="1"/>
  <c r="AH144" i="3"/>
  <c r="AJ151" i="3"/>
  <c r="AE22" i="3"/>
  <c r="AF22" i="3" s="1"/>
  <c r="AD122" i="3"/>
  <c r="AE10" i="3"/>
  <c r="AF10" i="3" s="1"/>
  <c r="AD110" i="3"/>
  <c r="AE6" i="3"/>
  <c r="AF6" i="3" s="1"/>
  <c r="AF105" i="3" s="1"/>
  <c r="AD106" i="3"/>
  <c r="AE30" i="3"/>
  <c r="AF30" i="3" s="1"/>
  <c r="AD130" i="3"/>
  <c r="AE13" i="3"/>
  <c r="AF13" i="3" s="1"/>
  <c r="AD113" i="3"/>
  <c r="AE32" i="3"/>
  <c r="AF32" i="3" s="1"/>
  <c r="AD132" i="3"/>
  <c r="AE15" i="3"/>
  <c r="AF15" i="3" s="1"/>
  <c r="AD115" i="3"/>
  <c r="AK83" i="3"/>
  <c r="AL83" i="3" s="1"/>
  <c r="AE37" i="3"/>
  <c r="AF37" i="3" s="1"/>
  <c r="AD137" i="3"/>
  <c r="AK72" i="3"/>
  <c r="AL72" i="3" s="1"/>
  <c r="AM71" i="3" s="1"/>
  <c r="AN71" i="3" s="1"/>
  <c r="AK74" i="3"/>
  <c r="AL74" i="3" s="1"/>
  <c r="AE24" i="3"/>
  <c r="AF24" i="3" s="1"/>
  <c r="AD124" i="3"/>
  <c r="AK57" i="3"/>
  <c r="AL57" i="3" s="1"/>
  <c r="AJ157" i="3"/>
  <c r="AK59" i="3"/>
  <c r="AL59" i="3" s="1"/>
  <c r="AG46" i="3"/>
  <c r="AH46" i="3" s="1"/>
  <c r="AF146" i="3"/>
  <c r="AH142" i="3"/>
  <c r="AE41" i="3"/>
  <c r="AF41" i="3" s="1"/>
  <c r="AD141" i="3"/>
  <c r="AG54" i="3"/>
  <c r="AH54" i="3" s="1"/>
  <c r="AF154" i="3"/>
  <c r="AE28" i="3"/>
  <c r="AF28" i="3" s="1"/>
  <c r="AD128" i="3"/>
  <c r="AE21" i="3"/>
  <c r="AF21" i="3" s="1"/>
  <c r="AD121" i="3"/>
  <c r="AF124" i="3"/>
  <c r="AI65" i="3"/>
  <c r="AJ65" i="3" s="1"/>
  <c r="AK64" i="3" s="1"/>
  <c r="AL64" i="3" s="1"/>
  <c r="AM63" i="3" s="1"/>
  <c r="AN63" i="3" s="1"/>
  <c r="AI67" i="3"/>
  <c r="AJ67" i="3" s="1"/>
  <c r="AE23" i="3"/>
  <c r="AF23" i="3" s="1"/>
  <c r="AE27" i="3"/>
  <c r="AF27" i="3" s="1"/>
  <c r="AD127" i="3"/>
  <c r="AK65" i="3"/>
  <c r="AL65" i="3" s="1"/>
  <c r="AM64" i="3" s="1"/>
  <c r="AN64" i="3" s="1"/>
  <c r="AO63" i="3" s="1"/>
  <c r="AP63" i="3" s="1"/>
  <c r="AK67" i="3"/>
  <c r="AL67" i="3" s="1"/>
  <c r="AI48" i="3"/>
  <c r="AJ48" i="3" s="1"/>
  <c r="AH148" i="3"/>
  <c r="AE38" i="3"/>
  <c r="AF38" i="3" s="1"/>
  <c r="AE9" i="3"/>
  <c r="AF9" i="3" s="1"/>
  <c r="AD109" i="3"/>
  <c r="AE16" i="3"/>
  <c r="AF16" i="3" s="1"/>
  <c r="AD116" i="3"/>
  <c r="AG52" i="3"/>
  <c r="AH52" i="3" s="1"/>
  <c r="AF152" i="3"/>
  <c r="AG41" i="3"/>
  <c r="AH41" i="3" s="1"/>
  <c r="AI42" i="3" s="1"/>
  <c r="AJ42" i="3" s="1"/>
  <c r="AF141" i="3"/>
  <c r="AE26" i="3"/>
  <c r="AF26" i="3" s="1"/>
  <c r="AD126" i="3"/>
  <c r="AK55" i="3"/>
  <c r="AL55" i="3" s="1"/>
  <c r="AJ155" i="3"/>
  <c r="AE20" i="3"/>
  <c r="AF20" i="3" s="1"/>
  <c r="AD120" i="3"/>
  <c r="AE17" i="3"/>
  <c r="AF17" i="3" s="1"/>
  <c r="AD117" i="3"/>
  <c r="AN161" i="3"/>
  <c r="AI81" i="3"/>
  <c r="AJ81" i="3" s="1"/>
  <c r="AK80" i="3" s="1"/>
  <c r="AL80" i="3" s="1"/>
  <c r="AM79" i="3" s="1"/>
  <c r="AN79" i="3" s="1"/>
  <c r="AO78" i="3" s="1"/>
  <c r="AP78" i="3" s="1"/>
  <c r="AI83" i="3"/>
  <c r="AJ83" i="3" s="1"/>
  <c r="AE39" i="3"/>
  <c r="AF39" i="3" s="1"/>
  <c r="AD139" i="3"/>
  <c r="AG50" i="3"/>
  <c r="AH50" i="3" s="1"/>
  <c r="AF150" i="3"/>
  <c r="AI76" i="3"/>
  <c r="AJ76" i="3" s="1"/>
  <c r="AK75" i="3" s="1"/>
  <c r="AL75" i="3" s="1"/>
  <c r="AM74" i="3" s="1"/>
  <c r="AN74" i="3" s="1"/>
  <c r="AO73" i="3" s="1"/>
  <c r="AP73" i="3" s="1"/>
  <c r="AQ72" i="3" s="1"/>
  <c r="AR72" i="3" s="1"/>
  <c r="AI78" i="3"/>
  <c r="AJ78" i="3" s="1"/>
  <c r="AE14" i="3"/>
  <c r="AF14" i="3" s="1"/>
  <c r="AD114" i="3"/>
  <c r="AE29" i="3"/>
  <c r="AF29" i="3" s="1"/>
  <c r="AD129" i="3"/>
  <c r="AI50" i="3"/>
  <c r="AJ50" i="3" s="1"/>
  <c r="AH15" i="4" l="1"/>
  <c r="AI15" i="4" s="1"/>
  <c r="AG115" i="4"/>
  <c r="P186" i="3"/>
  <c r="AH14" i="4"/>
  <c r="AI14" i="4" s="1"/>
  <c r="AG114" i="4"/>
  <c r="AT82" i="4"/>
  <c r="AU82" i="4" s="1"/>
  <c r="AV81" i="4" s="1"/>
  <c r="AW81" i="4" s="1"/>
  <c r="AT84" i="4"/>
  <c r="AU84" i="4" s="1"/>
  <c r="AV83" i="4" s="1"/>
  <c r="AW83" i="4" s="1"/>
  <c r="AM159" i="4"/>
  <c r="AH48" i="4"/>
  <c r="AI48" i="4" s="1"/>
  <c r="AG148" i="4"/>
  <c r="AH34" i="4"/>
  <c r="AI34" i="4" s="1"/>
  <c r="AG134" i="4"/>
  <c r="AH38" i="4"/>
  <c r="AI38" i="4" s="1"/>
  <c r="AG138" i="4"/>
  <c r="AL49" i="4"/>
  <c r="AM49" i="4" s="1"/>
  <c r="AK149" i="4"/>
  <c r="AI140" i="4"/>
  <c r="AH20" i="4"/>
  <c r="AI20" i="4" s="1"/>
  <c r="AG120" i="4"/>
  <c r="AH30" i="4"/>
  <c r="AI30" i="4" s="1"/>
  <c r="AG130" i="4"/>
  <c r="AH27" i="4"/>
  <c r="AI27" i="4" s="1"/>
  <c r="AG127" i="4"/>
  <c r="AH40" i="4"/>
  <c r="AI40" i="4" s="1"/>
  <c r="AG140" i="4"/>
  <c r="AH23" i="4"/>
  <c r="AI23" i="4" s="1"/>
  <c r="AG123" i="4"/>
  <c r="AN74" i="4"/>
  <c r="AO74" i="4" s="1"/>
  <c r="AP73" i="4" s="1"/>
  <c r="AQ73" i="4" s="1"/>
  <c r="AR72" i="4" s="1"/>
  <c r="AS72" i="4" s="1"/>
  <c r="AT71" i="4" s="1"/>
  <c r="AU71" i="4" s="1"/>
  <c r="AV70" i="4" s="1"/>
  <c r="AW70" i="4" s="1"/>
  <c r="AN76" i="4"/>
  <c r="AO76" i="4" s="1"/>
  <c r="AH54" i="4"/>
  <c r="AI54" i="4" s="1"/>
  <c r="AG154" i="4"/>
  <c r="AH56" i="4"/>
  <c r="AI56" i="4" s="1"/>
  <c r="AH52" i="4"/>
  <c r="AI52" i="4" s="1"/>
  <c r="AG152" i="4"/>
  <c r="AH31" i="4"/>
  <c r="AI31" i="4" s="1"/>
  <c r="AG131" i="4"/>
  <c r="AL8" i="4"/>
  <c r="AM8" i="4" s="1"/>
  <c r="AK108" i="4"/>
  <c r="AL57" i="4"/>
  <c r="AM57" i="4" s="1"/>
  <c r="AK157" i="4"/>
  <c r="AH35" i="4"/>
  <c r="AI35" i="4" s="1"/>
  <c r="AG135" i="4"/>
  <c r="AL51" i="4"/>
  <c r="AM51" i="4" s="1"/>
  <c r="AK151" i="4"/>
  <c r="AH28" i="4"/>
  <c r="AI28" i="4" s="1"/>
  <c r="AG128" i="4"/>
  <c r="AH17" i="4"/>
  <c r="AI17" i="4" s="1"/>
  <c r="AG117" i="4"/>
  <c r="AH25" i="4"/>
  <c r="AI25" i="4" s="1"/>
  <c r="AG125" i="4"/>
  <c r="AH44" i="4"/>
  <c r="AI44" i="4" s="1"/>
  <c r="AG144" i="4"/>
  <c r="AN61" i="4"/>
  <c r="AO61" i="4" s="1"/>
  <c r="AN63" i="4"/>
  <c r="AO63" i="4" s="1"/>
  <c r="AH21" i="4"/>
  <c r="AI21" i="4" s="1"/>
  <c r="AG121" i="4"/>
  <c r="AL7" i="4"/>
  <c r="AM7" i="4" s="1"/>
  <c r="AK107" i="4"/>
  <c r="AH33" i="4"/>
  <c r="AI33" i="4" s="1"/>
  <c r="AG133" i="4"/>
  <c r="AL55" i="4"/>
  <c r="AM55" i="4" s="1"/>
  <c r="AK155" i="4"/>
  <c r="AH26" i="4"/>
  <c r="AI26" i="4" s="1"/>
  <c r="AG126" i="4"/>
  <c r="AH32" i="4"/>
  <c r="AI32" i="4" s="1"/>
  <c r="AG132" i="4"/>
  <c r="AN73" i="4"/>
  <c r="AO73" i="4" s="1"/>
  <c r="AP72" i="4" s="1"/>
  <c r="AQ72" i="4" s="1"/>
  <c r="AR71" i="4" s="1"/>
  <c r="AS71" i="4" s="1"/>
  <c r="AT70" i="4" s="1"/>
  <c r="AU70" i="4" s="1"/>
  <c r="AV69" i="4" s="1"/>
  <c r="AW69" i="4" s="1"/>
  <c r="AN75" i="4"/>
  <c r="AO75" i="4" s="1"/>
  <c r="AH29" i="4"/>
  <c r="AI29" i="4" s="1"/>
  <c r="AG129" i="4"/>
  <c r="AL9" i="4"/>
  <c r="AM9" i="4" s="1"/>
  <c r="AK109" i="4"/>
  <c r="AH22" i="4"/>
  <c r="AI22" i="4" s="1"/>
  <c r="AG122" i="4"/>
  <c r="AP81" i="4"/>
  <c r="AQ81" i="4" s="1"/>
  <c r="AR80" i="4" s="1"/>
  <c r="AS80" i="4" s="1"/>
  <c r="AP83" i="4"/>
  <c r="AQ83" i="4" s="1"/>
  <c r="AH24" i="4"/>
  <c r="AI24" i="4" s="1"/>
  <c r="AG124" i="4"/>
  <c r="AL11" i="4"/>
  <c r="AM11" i="4" s="1"/>
  <c r="AK111" i="4"/>
  <c r="AL47" i="4"/>
  <c r="AM47" i="4" s="1"/>
  <c r="AK147" i="4"/>
  <c r="AH37" i="4"/>
  <c r="AI37" i="4" s="1"/>
  <c r="AG137" i="4"/>
  <c r="AH39" i="4"/>
  <c r="AI39" i="4" s="1"/>
  <c r="AH50" i="4"/>
  <c r="AI50" i="4" s="1"/>
  <c r="AG150" i="4"/>
  <c r="AL61" i="4"/>
  <c r="AM61" i="4" s="1"/>
  <c r="AL63" i="4"/>
  <c r="AM63" i="4" s="1"/>
  <c r="AL6" i="4"/>
  <c r="AM6" i="4" s="1"/>
  <c r="AM105" i="4" s="1"/>
  <c r="AK106" i="4"/>
  <c r="AK143" i="4"/>
  <c r="AH46" i="4"/>
  <c r="AI46" i="4" s="1"/>
  <c r="AG146" i="4"/>
  <c r="AH18" i="4"/>
  <c r="AI18" i="4" s="1"/>
  <c r="AG118" i="4"/>
  <c r="AH19" i="4"/>
  <c r="AI19" i="4" s="1"/>
  <c r="AG119" i="4"/>
  <c r="AL59" i="4"/>
  <c r="AM59" i="4" s="1"/>
  <c r="AK159" i="4"/>
  <c r="AH36" i="4"/>
  <c r="AI36" i="4" s="1"/>
  <c r="AG136" i="4"/>
  <c r="AJ42" i="4"/>
  <c r="AK42" i="4" s="1"/>
  <c r="AH16" i="4"/>
  <c r="AI16" i="4" s="1"/>
  <c r="AG116" i="4"/>
  <c r="AH42" i="4"/>
  <c r="AI42" i="4" s="1"/>
  <c r="AG142" i="4"/>
  <c r="AL10" i="4"/>
  <c r="AM10" i="4" s="1"/>
  <c r="AK110" i="4"/>
  <c r="AL45" i="4"/>
  <c r="AM45" i="4" s="1"/>
  <c r="AK145" i="4"/>
  <c r="AL53" i="4"/>
  <c r="AM53" i="4" s="1"/>
  <c r="AK153" i="4"/>
  <c r="AI57" i="3"/>
  <c r="AJ57" i="3" s="1"/>
  <c r="AH157" i="3"/>
  <c r="AI59" i="3"/>
  <c r="AJ59" i="3" s="1"/>
  <c r="AK49" i="3"/>
  <c r="AL49" i="3" s="1"/>
  <c r="AJ149" i="3"/>
  <c r="AG7" i="3"/>
  <c r="AH7" i="3" s="1"/>
  <c r="AF107" i="3"/>
  <c r="AH143" i="3"/>
  <c r="AG35" i="3"/>
  <c r="AH35" i="3" s="1"/>
  <c r="AF135" i="3"/>
  <c r="AG27" i="3"/>
  <c r="AH27" i="3" s="1"/>
  <c r="AF127" i="3"/>
  <c r="AG37" i="3"/>
  <c r="AH37" i="3" s="1"/>
  <c r="AF137" i="3"/>
  <c r="AG36" i="3"/>
  <c r="AH36" i="3" s="1"/>
  <c r="AF136" i="3"/>
  <c r="AK47" i="3"/>
  <c r="AL47" i="3" s="1"/>
  <c r="AJ147" i="3"/>
  <c r="AM66" i="3"/>
  <c r="AN66" i="3" s="1"/>
  <c r="AO65" i="3" s="1"/>
  <c r="AP65" i="3" s="1"/>
  <c r="AQ64" i="3" s="1"/>
  <c r="AR64" i="3" s="1"/>
  <c r="AM68" i="3"/>
  <c r="AN68" i="3" s="1"/>
  <c r="AG14" i="3"/>
  <c r="AH14" i="3" s="1"/>
  <c r="AF114" i="3"/>
  <c r="AG26" i="3"/>
  <c r="AH26" i="3" s="1"/>
  <c r="AF126" i="3"/>
  <c r="AG40" i="3"/>
  <c r="AH40" i="3" s="1"/>
  <c r="AF140" i="3"/>
  <c r="AK77" i="3"/>
  <c r="AL77" i="3" s="1"/>
  <c r="AM76" i="3" s="1"/>
  <c r="AN76" i="3" s="1"/>
  <c r="AO75" i="3" s="1"/>
  <c r="AP75" i="3" s="1"/>
  <c r="AQ74" i="3" s="1"/>
  <c r="AR74" i="3" s="1"/>
  <c r="AS73" i="3" s="1"/>
  <c r="AT73" i="3" s="1"/>
  <c r="AK79" i="3"/>
  <c r="AL79" i="3" s="1"/>
  <c r="AG22" i="3"/>
  <c r="AH22" i="3" s="1"/>
  <c r="AF122" i="3"/>
  <c r="AG6" i="3"/>
  <c r="AH6" i="3" s="1"/>
  <c r="AH105" i="3" s="1"/>
  <c r="AF106" i="3"/>
  <c r="AG8" i="3"/>
  <c r="AH8" i="3" s="1"/>
  <c r="AF108" i="3"/>
  <c r="AG9" i="3"/>
  <c r="AH9" i="3" s="1"/>
  <c r="AF109" i="3"/>
  <c r="AG30" i="3"/>
  <c r="AH30" i="3" s="1"/>
  <c r="AF130" i="3"/>
  <c r="AK66" i="3"/>
  <c r="AL66" i="3" s="1"/>
  <c r="AM65" i="3" s="1"/>
  <c r="AN65" i="3" s="1"/>
  <c r="AO64" i="3" s="1"/>
  <c r="AP64" i="3" s="1"/>
  <c r="AK68" i="3"/>
  <c r="AL68" i="3" s="1"/>
  <c r="AI45" i="3"/>
  <c r="AJ45" i="3" s="1"/>
  <c r="AH145" i="3"/>
  <c r="AG12" i="3"/>
  <c r="AH12" i="3" s="1"/>
  <c r="AF112" i="3"/>
  <c r="AG33" i="3"/>
  <c r="AH33" i="3" s="1"/>
  <c r="AF133" i="3"/>
  <c r="AG18" i="3"/>
  <c r="AH18" i="3" s="1"/>
  <c r="AF118" i="3"/>
  <c r="AM73" i="3"/>
  <c r="AN73" i="3" s="1"/>
  <c r="AO72" i="3" s="1"/>
  <c r="AP72" i="3" s="1"/>
  <c r="AM75" i="3"/>
  <c r="AN75" i="3" s="1"/>
  <c r="AI55" i="3"/>
  <c r="AJ55" i="3" s="1"/>
  <c r="AH155" i="3"/>
  <c r="AM82" i="3"/>
  <c r="AN82" i="3" s="1"/>
  <c r="AM84" i="3"/>
  <c r="AN84" i="3" s="1"/>
  <c r="AO83" i="3" s="1"/>
  <c r="AP83" i="3" s="1"/>
  <c r="AG31" i="3"/>
  <c r="AH31" i="3" s="1"/>
  <c r="AF131" i="3"/>
  <c r="AM58" i="3"/>
  <c r="AN58" i="3" s="1"/>
  <c r="AL158" i="3"/>
  <c r="AM60" i="3"/>
  <c r="AN60" i="3" s="1"/>
  <c r="AG10" i="3"/>
  <c r="AH10" i="3" s="1"/>
  <c r="AF110" i="3"/>
  <c r="AG39" i="3"/>
  <c r="AH39" i="3" s="1"/>
  <c r="AG19" i="3"/>
  <c r="AH19" i="3" s="1"/>
  <c r="AF119" i="3"/>
  <c r="AK51" i="3"/>
  <c r="AL51" i="3" s="1"/>
  <c r="AJ141" i="3"/>
  <c r="AG34" i="3"/>
  <c r="AH34" i="3" s="1"/>
  <c r="AF134" i="3"/>
  <c r="AI47" i="3"/>
  <c r="AJ47" i="3" s="1"/>
  <c r="AH147" i="3"/>
  <c r="AG16" i="3"/>
  <c r="AH16" i="3" s="1"/>
  <c r="AF116" i="3"/>
  <c r="AG11" i="3"/>
  <c r="AH11" i="3" s="1"/>
  <c r="AF111" i="3"/>
  <c r="AK43" i="3"/>
  <c r="AL43" i="3" s="1"/>
  <c r="AJ143" i="3"/>
  <c r="AK84" i="3"/>
  <c r="AL84" i="3" s="1"/>
  <c r="AK82" i="3"/>
  <c r="AL82" i="3" s="1"/>
  <c r="AM81" i="3" s="1"/>
  <c r="AN81" i="3" s="1"/>
  <c r="AO80" i="3" s="1"/>
  <c r="AP80" i="3" s="1"/>
  <c r="AQ79" i="3" s="1"/>
  <c r="AR79" i="3" s="1"/>
  <c r="AI51" i="3"/>
  <c r="AJ51" i="3" s="1"/>
  <c r="AH151" i="3"/>
  <c r="AG24" i="3"/>
  <c r="AH24" i="3" s="1"/>
  <c r="AM56" i="3"/>
  <c r="AN56" i="3" s="1"/>
  <c r="AL156" i="3"/>
  <c r="AG32" i="3"/>
  <c r="AH32" i="3" s="1"/>
  <c r="AF132" i="3"/>
  <c r="AI53" i="3"/>
  <c r="AJ53" i="3" s="1"/>
  <c r="AH153" i="3"/>
  <c r="AG28" i="3"/>
  <c r="AH28" i="3" s="1"/>
  <c r="AF128" i="3"/>
  <c r="AG13" i="3"/>
  <c r="AH13" i="3" s="1"/>
  <c r="AF113" i="3"/>
  <c r="AK45" i="3"/>
  <c r="AL45" i="3" s="1"/>
  <c r="AJ145" i="3"/>
  <c r="AG25" i="3"/>
  <c r="AH25" i="3" s="1"/>
  <c r="AF125" i="3"/>
  <c r="AI49" i="3"/>
  <c r="AJ49" i="3" s="1"/>
  <c r="AH149" i="3"/>
  <c r="AI40" i="3"/>
  <c r="AJ40" i="3" s="1"/>
  <c r="AH140" i="3"/>
  <c r="AG38" i="3"/>
  <c r="AH38" i="3" s="1"/>
  <c r="AF138" i="3"/>
  <c r="AG29" i="3"/>
  <c r="AH29" i="3" s="1"/>
  <c r="AF129" i="3"/>
  <c r="AG17" i="3"/>
  <c r="AH17" i="3" s="1"/>
  <c r="AF117" i="3"/>
  <c r="AL152" i="3"/>
  <c r="AG21" i="3"/>
  <c r="AH21" i="3" s="1"/>
  <c r="AF121" i="3"/>
  <c r="AP162" i="3"/>
  <c r="AM54" i="3"/>
  <c r="AN54" i="3" s="1"/>
  <c r="AL154" i="3"/>
  <c r="AG15" i="3"/>
  <c r="AH15" i="3" s="1"/>
  <c r="AF115" i="3"/>
  <c r="AG20" i="3"/>
  <c r="AH20" i="3" s="1"/>
  <c r="AF120" i="3"/>
  <c r="AG23" i="3"/>
  <c r="AH23" i="3" s="1"/>
  <c r="AF123" i="3"/>
  <c r="AG42" i="3"/>
  <c r="AH42" i="3" s="1"/>
  <c r="Q186" i="3" l="1"/>
  <c r="AI113" i="4"/>
  <c r="AJ13" i="4"/>
  <c r="AK13" i="4" s="1"/>
  <c r="AI114" i="4"/>
  <c r="AJ14" i="4"/>
  <c r="AK14" i="4" s="1"/>
  <c r="AJ32" i="4"/>
  <c r="AK32" i="4" s="1"/>
  <c r="AI132" i="4"/>
  <c r="AP75" i="4"/>
  <c r="AQ75" i="4" s="1"/>
  <c r="AR74" i="4" s="1"/>
  <c r="AS74" i="4" s="1"/>
  <c r="AT73" i="4" s="1"/>
  <c r="AU73" i="4" s="1"/>
  <c r="AV72" i="4" s="1"/>
  <c r="AW72" i="4" s="1"/>
  <c r="AX71" i="4" s="1"/>
  <c r="AY71" i="4" s="1"/>
  <c r="AP77" i="4"/>
  <c r="AQ77" i="4" s="1"/>
  <c r="AJ37" i="4"/>
  <c r="AK37" i="4" s="1"/>
  <c r="AI137" i="4"/>
  <c r="AN48" i="4"/>
  <c r="AO48" i="4" s="1"/>
  <c r="AM148" i="4"/>
  <c r="AJ34" i="4"/>
  <c r="AK34" i="4" s="1"/>
  <c r="AI134" i="4"/>
  <c r="AJ22" i="4"/>
  <c r="AK22" i="4" s="1"/>
  <c r="AI122" i="4"/>
  <c r="AJ41" i="4"/>
  <c r="AK41" i="4" s="1"/>
  <c r="AI141" i="4"/>
  <c r="AJ27" i="4"/>
  <c r="AK27" i="4" s="1"/>
  <c r="AI127" i="4"/>
  <c r="AN8" i="4"/>
  <c r="AO8" i="4" s="1"/>
  <c r="AM108" i="4"/>
  <c r="AJ20" i="4"/>
  <c r="AK20" i="4" s="1"/>
  <c r="AI120" i="4"/>
  <c r="AN62" i="4"/>
  <c r="AO62" i="4" s="1"/>
  <c r="AN64" i="4"/>
  <c r="AO64" i="4" s="1"/>
  <c r="AJ49" i="4"/>
  <c r="AK49" i="4" s="1"/>
  <c r="AI149" i="4"/>
  <c r="AN58" i="4"/>
  <c r="AO58" i="4" s="1"/>
  <c r="AM158" i="4"/>
  <c r="AJ38" i="4"/>
  <c r="AK38" i="4" s="1"/>
  <c r="AI138" i="4"/>
  <c r="AP62" i="4"/>
  <c r="AQ62" i="4" s="1"/>
  <c r="AP64" i="4"/>
  <c r="AQ64" i="4" s="1"/>
  <c r="AN56" i="4"/>
  <c r="AO56" i="4" s="1"/>
  <c r="AM156" i="4"/>
  <c r="AJ39" i="4"/>
  <c r="AK39" i="4" s="1"/>
  <c r="AI139" i="4"/>
  <c r="AJ33" i="4"/>
  <c r="AK33" i="4" s="1"/>
  <c r="AI133" i="4"/>
  <c r="AJ21" i="4"/>
  <c r="AK21" i="4" s="1"/>
  <c r="AI121" i="4"/>
  <c r="AJ28" i="4"/>
  <c r="AK28" i="4" s="1"/>
  <c r="AI128" i="4"/>
  <c r="AO160" i="4"/>
  <c r="AN7" i="4"/>
  <c r="AO7" i="4" s="1"/>
  <c r="AM107" i="4"/>
  <c r="AJ26" i="4"/>
  <c r="AK26" i="4" s="1"/>
  <c r="AI126" i="4"/>
  <c r="AN54" i="4"/>
  <c r="AO54" i="4" s="1"/>
  <c r="AM154" i="4"/>
  <c r="AJ43" i="4"/>
  <c r="AK43" i="4" s="1"/>
  <c r="AI143" i="4"/>
  <c r="AR82" i="4"/>
  <c r="AS82" i="4" s="1"/>
  <c r="AT81" i="4" s="1"/>
  <c r="AU81" i="4" s="1"/>
  <c r="AR84" i="4"/>
  <c r="AS84" i="4" s="1"/>
  <c r="AT83" i="4" s="1"/>
  <c r="AU83" i="4" s="1"/>
  <c r="AL41" i="4"/>
  <c r="AM41" i="4" s="1"/>
  <c r="AK141" i="4"/>
  <c r="AJ17" i="4"/>
  <c r="AK17" i="4" s="1"/>
  <c r="AI117" i="4"/>
  <c r="AJ29" i="4"/>
  <c r="AK29" i="4" s="1"/>
  <c r="AI129" i="4"/>
  <c r="AJ47" i="4"/>
  <c r="AK47" i="4" s="1"/>
  <c r="AI147" i="4"/>
  <c r="AJ15" i="4"/>
  <c r="AK15" i="4" s="1"/>
  <c r="AI115" i="4"/>
  <c r="AJ18" i="4"/>
  <c r="AK18" i="4" s="1"/>
  <c r="AI118" i="4"/>
  <c r="AN44" i="4"/>
  <c r="AO44" i="4" s="1"/>
  <c r="AM144" i="4"/>
  <c r="AN46" i="4"/>
  <c r="AO46" i="4" s="1"/>
  <c r="AM146" i="4"/>
  <c r="AJ31" i="4"/>
  <c r="AK31" i="4" s="1"/>
  <c r="AI131" i="4"/>
  <c r="AJ24" i="4"/>
  <c r="AK24" i="4" s="1"/>
  <c r="AI124" i="4"/>
  <c r="AJ30" i="4"/>
  <c r="AK30" i="4" s="1"/>
  <c r="AI130" i="4"/>
  <c r="AN60" i="4"/>
  <c r="AO60" i="4" s="1"/>
  <c r="AM160" i="4"/>
  <c r="AJ35" i="4"/>
  <c r="AK35" i="4" s="1"/>
  <c r="AI135" i="4"/>
  <c r="AN52" i="4"/>
  <c r="AO52" i="4" s="1"/>
  <c r="AM152" i="4"/>
  <c r="AJ45" i="4"/>
  <c r="AK45" i="4" s="1"/>
  <c r="AI145" i="4"/>
  <c r="AJ19" i="4"/>
  <c r="AK19" i="4" s="1"/>
  <c r="AI119" i="4"/>
  <c r="AJ23" i="4"/>
  <c r="AK23" i="4" s="1"/>
  <c r="AI123" i="4"/>
  <c r="AN6" i="4"/>
  <c r="AO6" i="4" s="1"/>
  <c r="AO105" i="4" s="1"/>
  <c r="AM106" i="4"/>
  <c r="AP74" i="4"/>
  <c r="AQ74" i="4" s="1"/>
  <c r="AR73" i="4" s="1"/>
  <c r="AS73" i="4" s="1"/>
  <c r="AT72" i="4" s="1"/>
  <c r="AU72" i="4" s="1"/>
  <c r="AV71" i="4" s="1"/>
  <c r="AW71" i="4" s="1"/>
  <c r="AX70" i="4" s="1"/>
  <c r="AY70" i="4" s="1"/>
  <c r="AP76" i="4"/>
  <c r="AQ76" i="4" s="1"/>
  <c r="AN9" i="4"/>
  <c r="AO9" i="4" s="1"/>
  <c r="AM109" i="4"/>
  <c r="AN10" i="4"/>
  <c r="AO10" i="4" s="1"/>
  <c r="AM110" i="4"/>
  <c r="AJ25" i="4"/>
  <c r="AK25" i="4" s="1"/>
  <c r="AI125" i="4"/>
  <c r="AJ16" i="4"/>
  <c r="AK16" i="4" s="1"/>
  <c r="AI116" i="4"/>
  <c r="AJ51" i="4"/>
  <c r="AK51" i="4" s="1"/>
  <c r="AI151" i="4"/>
  <c r="AX84" i="4"/>
  <c r="AY84" i="4" s="1"/>
  <c r="AX82" i="4"/>
  <c r="AY82" i="4" s="1"/>
  <c r="AJ53" i="4"/>
  <c r="AK53" i="4" s="1"/>
  <c r="AI153" i="4"/>
  <c r="AN50" i="4"/>
  <c r="AO50" i="4" s="1"/>
  <c r="AM150" i="4"/>
  <c r="AJ36" i="4"/>
  <c r="AK36" i="4" s="1"/>
  <c r="AI136" i="4"/>
  <c r="AL43" i="4"/>
  <c r="AM43" i="4" s="1"/>
  <c r="AJ55" i="4"/>
  <c r="AK55" i="4" s="1"/>
  <c r="AI155" i="4"/>
  <c r="AJ57" i="4"/>
  <c r="AK57" i="4" s="1"/>
  <c r="AJ40" i="4"/>
  <c r="AK40" i="4" s="1"/>
  <c r="AI26" i="3"/>
  <c r="AJ26" i="3" s="1"/>
  <c r="AH126" i="3"/>
  <c r="AJ144" i="3"/>
  <c r="AI41" i="3"/>
  <c r="AJ41" i="3" s="1"/>
  <c r="AH141" i="3"/>
  <c r="AM67" i="3"/>
  <c r="AN67" i="3" s="1"/>
  <c r="AO66" i="3" s="1"/>
  <c r="AP66" i="3" s="1"/>
  <c r="AQ65" i="3" s="1"/>
  <c r="AR65" i="3" s="1"/>
  <c r="AM69" i="3"/>
  <c r="AN69" i="3" s="1"/>
  <c r="AI39" i="3"/>
  <c r="AJ39" i="3" s="1"/>
  <c r="AH139" i="3"/>
  <c r="AI34" i="3"/>
  <c r="AJ34" i="3" s="1"/>
  <c r="AH134" i="3"/>
  <c r="AI16" i="3"/>
  <c r="AJ16" i="3" s="1"/>
  <c r="AH116" i="3"/>
  <c r="AO57" i="3"/>
  <c r="AP57" i="3" s="1"/>
  <c r="AN157" i="3"/>
  <c r="AI28" i="3"/>
  <c r="AJ28" i="3" s="1"/>
  <c r="AH128" i="3"/>
  <c r="AI37" i="3"/>
  <c r="AJ37" i="3" s="1"/>
  <c r="AH137" i="3"/>
  <c r="AI31" i="3"/>
  <c r="AJ31" i="3" s="1"/>
  <c r="AH131" i="3"/>
  <c r="AQ84" i="3"/>
  <c r="AR84" i="3" s="1"/>
  <c r="AI25" i="3"/>
  <c r="AJ25" i="3" s="1"/>
  <c r="AH125" i="3"/>
  <c r="AI43" i="3"/>
  <c r="AJ43" i="3" s="1"/>
  <c r="AI27" i="3"/>
  <c r="AJ27" i="3" s="1"/>
  <c r="AH127" i="3"/>
  <c r="AI33" i="3"/>
  <c r="AJ33" i="3" s="1"/>
  <c r="AH133" i="3"/>
  <c r="AI36" i="3"/>
  <c r="AJ36" i="3" s="1"/>
  <c r="AH136" i="3"/>
  <c r="AK52" i="3"/>
  <c r="AL52" i="3" s="1"/>
  <c r="AJ152" i="3"/>
  <c r="AK39" i="3"/>
  <c r="AL39" i="3" s="1"/>
  <c r="AJ139" i="3"/>
  <c r="AO55" i="3"/>
  <c r="AP55" i="3" s="1"/>
  <c r="AN155" i="3"/>
  <c r="AI29" i="3"/>
  <c r="AJ29" i="3" s="1"/>
  <c r="AH129" i="3"/>
  <c r="AI13" i="3"/>
  <c r="AJ13" i="3" s="1"/>
  <c r="AH113" i="3"/>
  <c r="AI6" i="3"/>
  <c r="AJ6" i="3" s="1"/>
  <c r="AJ105" i="3" s="1"/>
  <c r="AH106" i="3"/>
  <c r="AN153" i="3"/>
  <c r="AI21" i="3"/>
  <c r="AJ21" i="3" s="1"/>
  <c r="AH121" i="3"/>
  <c r="AM50" i="3"/>
  <c r="AN50" i="3" s="1"/>
  <c r="AL150" i="3"/>
  <c r="AO74" i="3"/>
  <c r="AP74" i="3" s="1"/>
  <c r="AQ73" i="3" s="1"/>
  <c r="AR73" i="3" s="1"/>
  <c r="AO76" i="3"/>
  <c r="AP76" i="3" s="1"/>
  <c r="AI8" i="3"/>
  <c r="AJ8" i="3" s="1"/>
  <c r="AH108" i="3"/>
  <c r="AR163" i="3"/>
  <c r="AM48" i="3"/>
  <c r="AN48" i="3" s="1"/>
  <c r="AL148" i="3"/>
  <c r="AO59" i="3"/>
  <c r="AP59" i="3" s="1"/>
  <c r="AN159" i="3"/>
  <c r="AO61" i="3"/>
  <c r="AP61" i="3" s="1"/>
  <c r="AI19" i="3"/>
  <c r="AJ19" i="3" s="1"/>
  <c r="AH119" i="3"/>
  <c r="AI23" i="3"/>
  <c r="AJ23" i="3" s="1"/>
  <c r="AH123" i="3"/>
  <c r="AK50" i="3"/>
  <c r="AL50" i="3" s="1"/>
  <c r="AJ150" i="3"/>
  <c r="AK46" i="3"/>
  <c r="AL46" i="3" s="1"/>
  <c r="AJ146" i="3"/>
  <c r="AI14" i="3"/>
  <c r="AJ14" i="3" s="1"/>
  <c r="AH114" i="3"/>
  <c r="AI24" i="3"/>
  <c r="AJ24" i="3" s="1"/>
  <c r="AH124" i="3"/>
  <c r="AI18" i="3"/>
  <c r="AJ18" i="3" s="1"/>
  <c r="AH118" i="3"/>
  <c r="AI7" i="3"/>
  <c r="AJ7" i="3" s="1"/>
  <c r="AH107" i="3"/>
  <c r="AM46" i="3"/>
  <c r="AN46" i="3" s="1"/>
  <c r="AL146" i="3"/>
  <c r="AK58" i="3"/>
  <c r="AL58" i="3" s="1"/>
  <c r="AJ158" i="3"/>
  <c r="AK60" i="3"/>
  <c r="AL60" i="3" s="1"/>
  <c r="AM78" i="3"/>
  <c r="AN78" i="3" s="1"/>
  <c r="AO77" i="3" s="1"/>
  <c r="AP77" i="3" s="1"/>
  <c r="AQ76" i="3" s="1"/>
  <c r="AR76" i="3" s="1"/>
  <c r="AS75" i="3" s="1"/>
  <c r="AT75" i="3" s="1"/>
  <c r="AU74" i="3" s="1"/>
  <c r="AV74" i="3" s="1"/>
  <c r="AM80" i="3"/>
  <c r="AN80" i="3" s="1"/>
  <c r="AO79" i="3" s="1"/>
  <c r="AP79" i="3" s="1"/>
  <c r="AQ78" i="3" s="1"/>
  <c r="AR78" i="3" s="1"/>
  <c r="AS77" i="3" s="1"/>
  <c r="AT77" i="3" s="1"/>
  <c r="AU76" i="3" s="1"/>
  <c r="AV76" i="3" s="1"/>
  <c r="AW75" i="3" s="1"/>
  <c r="AX75" i="3" s="1"/>
  <c r="AK54" i="3"/>
  <c r="AL54" i="3" s="1"/>
  <c r="AJ154" i="3"/>
  <c r="AO67" i="3"/>
  <c r="AP67" i="3" s="1"/>
  <c r="AQ66" i="3" s="1"/>
  <c r="AR66" i="3" s="1"/>
  <c r="AS65" i="3" s="1"/>
  <c r="AT65" i="3" s="1"/>
  <c r="AO69" i="3"/>
  <c r="AP69" i="3" s="1"/>
  <c r="AI20" i="3"/>
  <c r="AJ20" i="3" s="1"/>
  <c r="AH120" i="3"/>
  <c r="AM83" i="3"/>
  <c r="AN83" i="3" s="1"/>
  <c r="AI38" i="3"/>
  <c r="AJ38" i="3" s="1"/>
  <c r="AH138" i="3"/>
  <c r="AI17" i="3"/>
  <c r="AJ17" i="3" s="1"/>
  <c r="AH117" i="3"/>
  <c r="AI11" i="3"/>
  <c r="AJ11" i="3" s="1"/>
  <c r="AH111" i="3"/>
  <c r="AI15" i="3"/>
  <c r="AJ15" i="3" s="1"/>
  <c r="AH115" i="3"/>
  <c r="AI30" i="3"/>
  <c r="AJ30" i="3" s="1"/>
  <c r="AH130" i="3"/>
  <c r="AK48" i="3"/>
  <c r="AL48" i="3" s="1"/>
  <c r="AJ148" i="3"/>
  <c r="AM44" i="3"/>
  <c r="AN44" i="3" s="1"/>
  <c r="AL144" i="3"/>
  <c r="AI35" i="3"/>
  <c r="AJ35" i="3" s="1"/>
  <c r="AH135" i="3"/>
  <c r="AK56" i="3"/>
  <c r="AL56" i="3" s="1"/>
  <c r="AJ156" i="3"/>
  <c r="AI12" i="3"/>
  <c r="AJ12" i="3" s="1"/>
  <c r="AH112" i="3"/>
  <c r="AI10" i="3"/>
  <c r="AJ10" i="3" s="1"/>
  <c r="AH110" i="3"/>
  <c r="AI22" i="3"/>
  <c r="AJ22" i="3" s="1"/>
  <c r="AH122" i="3"/>
  <c r="AK41" i="3"/>
  <c r="AL41" i="3" s="1"/>
  <c r="AM52" i="3"/>
  <c r="AN52" i="3" s="1"/>
  <c r="AM42" i="3"/>
  <c r="AN42" i="3" s="1"/>
  <c r="AL142" i="3"/>
  <c r="AI9" i="3"/>
  <c r="AJ9" i="3" s="1"/>
  <c r="AH109" i="3"/>
  <c r="AI32" i="3"/>
  <c r="AJ32" i="3" s="1"/>
  <c r="AH132" i="3"/>
  <c r="AL13" i="4" l="1"/>
  <c r="AM13" i="4" s="1"/>
  <c r="AK113" i="4"/>
  <c r="R186" i="3"/>
  <c r="AL12" i="4"/>
  <c r="AM12" i="4" s="1"/>
  <c r="AK112" i="4"/>
  <c r="AP6" i="4"/>
  <c r="AQ6" i="4" s="1"/>
  <c r="AQ105" i="4" s="1"/>
  <c r="AO106" i="4"/>
  <c r="AP49" i="4"/>
  <c r="AQ49" i="4" s="1"/>
  <c r="AO149" i="4"/>
  <c r="AL16" i="4"/>
  <c r="AM16" i="4" s="1"/>
  <c r="AK116" i="4"/>
  <c r="AZ83" i="4"/>
  <c r="BA83" i="4" s="1"/>
  <c r="AL22" i="4"/>
  <c r="AM22" i="4" s="1"/>
  <c r="AK122" i="4"/>
  <c r="AL30" i="4"/>
  <c r="AM30" i="4" s="1"/>
  <c r="AK130" i="4"/>
  <c r="AM140" i="4"/>
  <c r="AP57" i="4"/>
  <c r="AQ57" i="4" s="1"/>
  <c r="AO157" i="4"/>
  <c r="AL21" i="4"/>
  <c r="AM21" i="4" s="1"/>
  <c r="AK121" i="4"/>
  <c r="AV84" i="4"/>
  <c r="AW84" i="4" s="1"/>
  <c r="AV82" i="4"/>
  <c r="AW82" i="4" s="1"/>
  <c r="AL23" i="4"/>
  <c r="AM23" i="4" s="1"/>
  <c r="AK123" i="4"/>
  <c r="AL50" i="4"/>
  <c r="AM50" i="4" s="1"/>
  <c r="AK150" i="4"/>
  <c r="AL18" i="4"/>
  <c r="AM18" i="4" s="1"/>
  <c r="AK118" i="4"/>
  <c r="AP45" i="4"/>
  <c r="AQ45" i="4" s="1"/>
  <c r="AO145" i="4"/>
  <c r="AL27" i="4"/>
  <c r="AM27" i="4" s="1"/>
  <c r="AK127" i="4"/>
  <c r="AL48" i="4"/>
  <c r="AM48" i="4" s="1"/>
  <c r="AK148" i="4"/>
  <c r="AL33" i="4"/>
  <c r="AM33" i="4" s="1"/>
  <c r="AK133" i="4"/>
  <c r="AQ161" i="4"/>
  <c r="AP63" i="4"/>
  <c r="AQ63" i="4" s="1"/>
  <c r="AP65" i="4"/>
  <c r="AQ65" i="4" s="1"/>
  <c r="AL28" i="4"/>
  <c r="AM28" i="4" s="1"/>
  <c r="AK128" i="4"/>
  <c r="AL39" i="4"/>
  <c r="AM39" i="4" s="1"/>
  <c r="AN40" i="4" s="1"/>
  <c r="AO40" i="4" s="1"/>
  <c r="AK139" i="4"/>
  <c r="AL15" i="4"/>
  <c r="AM15" i="4" s="1"/>
  <c r="AK115" i="4"/>
  <c r="AL44" i="4"/>
  <c r="AM44" i="4" s="1"/>
  <c r="AK144" i="4"/>
  <c r="AO143" i="4"/>
  <c r="AL42" i="4"/>
  <c r="AM42" i="4" s="1"/>
  <c r="AK142" i="4"/>
  <c r="AL20" i="4"/>
  <c r="AM20" i="4" s="1"/>
  <c r="AK120" i="4"/>
  <c r="AP61" i="4"/>
  <c r="AQ61" i="4" s="1"/>
  <c r="AO161" i="4"/>
  <c r="AP47" i="4"/>
  <c r="AQ47" i="4" s="1"/>
  <c r="AO147" i="4"/>
  <c r="AL40" i="4"/>
  <c r="AM40" i="4" s="1"/>
  <c r="AK140" i="4"/>
  <c r="AL37" i="4"/>
  <c r="AM37" i="4" s="1"/>
  <c r="AK137" i="4"/>
  <c r="AL29" i="4"/>
  <c r="AM29" i="4" s="1"/>
  <c r="AK129" i="4"/>
  <c r="AL24" i="4"/>
  <c r="AM24" i="4" s="1"/>
  <c r="AK124" i="4"/>
  <c r="AP51" i="4"/>
  <c r="AQ51" i="4" s="1"/>
  <c r="AO151" i="4"/>
  <c r="AL17" i="4"/>
  <c r="AM17" i="4" s="1"/>
  <c r="AK117" i="4"/>
  <c r="AL32" i="4"/>
  <c r="AM32" i="4" s="1"/>
  <c r="AK132" i="4"/>
  <c r="AL19" i="4"/>
  <c r="AM19" i="4" s="1"/>
  <c r="AK119" i="4"/>
  <c r="AL36" i="4"/>
  <c r="AM36" i="4" s="1"/>
  <c r="AK136" i="4"/>
  <c r="AL54" i="4"/>
  <c r="AM54" i="4" s="1"/>
  <c r="AK154" i="4"/>
  <c r="AP53" i="4"/>
  <c r="AQ53" i="4" s="1"/>
  <c r="AO153" i="4"/>
  <c r="AN42" i="4"/>
  <c r="AO42" i="4" s="1"/>
  <c r="AM142" i="4"/>
  <c r="AP9" i="4"/>
  <c r="AQ9" i="4" s="1"/>
  <c r="AO109" i="4"/>
  <c r="AL34" i="4"/>
  <c r="AM34" i="4" s="1"/>
  <c r="AK134" i="4"/>
  <c r="AL14" i="4"/>
  <c r="AM14" i="4" s="1"/>
  <c r="AK114" i="4"/>
  <c r="AL38" i="4"/>
  <c r="AM38" i="4" s="1"/>
  <c r="AK138" i="4"/>
  <c r="AP7" i="4"/>
  <c r="AQ7" i="4" s="1"/>
  <c r="AO107" i="4"/>
  <c r="AR76" i="4"/>
  <c r="AS76" i="4" s="1"/>
  <c r="AT75" i="4" s="1"/>
  <c r="AU75" i="4" s="1"/>
  <c r="AV74" i="4" s="1"/>
  <c r="AW74" i="4" s="1"/>
  <c r="AX73" i="4" s="1"/>
  <c r="AY73" i="4" s="1"/>
  <c r="AZ72" i="4" s="1"/>
  <c r="BA72" i="4" s="1"/>
  <c r="AR78" i="4"/>
  <c r="AS78" i="4" s="1"/>
  <c r="AL56" i="4"/>
  <c r="AM56" i="4" s="1"/>
  <c r="AK156" i="4"/>
  <c r="AL58" i="4"/>
  <c r="AM58" i="4" s="1"/>
  <c r="AL35" i="4"/>
  <c r="AM35" i="4" s="1"/>
  <c r="AK135" i="4"/>
  <c r="AP8" i="4"/>
  <c r="AQ8" i="4" s="1"/>
  <c r="AO108" i="4"/>
  <c r="AP59" i="4"/>
  <c r="AQ59" i="4" s="1"/>
  <c r="AO159" i="4"/>
  <c r="AL46" i="4"/>
  <c r="AM46" i="4" s="1"/>
  <c r="AK146" i="4"/>
  <c r="AP55" i="4"/>
  <c r="AQ55" i="4" s="1"/>
  <c r="AO155" i="4"/>
  <c r="AL26" i="4"/>
  <c r="AM26" i="4" s="1"/>
  <c r="AK126" i="4"/>
  <c r="AL52" i="4"/>
  <c r="AM52" i="4" s="1"/>
  <c r="AK152" i="4"/>
  <c r="AR75" i="4"/>
  <c r="AS75" i="4" s="1"/>
  <c r="AT74" i="4" s="1"/>
  <c r="AU74" i="4" s="1"/>
  <c r="AV73" i="4" s="1"/>
  <c r="AW73" i="4" s="1"/>
  <c r="AX72" i="4" s="1"/>
  <c r="AY72" i="4" s="1"/>
  <c r="AZ71" i="4" s="1"/>
  <c r="BA71" i="4" s="1"/>
  <c r="AR77" i="4"/>
  <c r="AS77" i="4" s="1"/>
  <c r="AL25" i="4"/>
  <c r="AM25" i="4" s="1"/>
  <c r="AK125" i="4"/>
  <c r="AR63" i="4"/>
  <c r="AS63" i="4" s="1"/>
  <c r="AR65" i="4"/>
  <c r="AS65" i="4" s="1"/>
  <c r="AL31" i="4"/>
  <c r="AM31" i="4" s="1"/>
  <c r="AK131" i="4"/>
  <c r="AJ119" i="3"/>
  <c r="AK19" i="3"/>
  <c r="AL19" i="3" s="1"/>
  <c r="AK42" i="3"/>
  <c r="AL42" i="3" s="1"/>
  <c r="AJ142" i="3"/>
  <c r="AK33" i="3"/>
  <c r="AL33" i="3" s="1"/>
  <c r="AJ133" i="3"/>
  <c r="AK17" i="3"/>
  <c r="AL17" i="3" s="1"/>
  <c r="AJ117" i="3"/>
  <c r="AQ68" i="3"/>
  <c r="AR68" i="3" s="1"/>
  <c r="AS67" i="3" s="1"/>
  <c r="AT67" i="3" s="1"/>
  <c r="AU66" i="3" s="1"/>
  <c r="AV66" i="3" s="1"/>
  <c r="AQ70" i="3"/>
  <c r="AR70" i="3" s="1"/>
  <c r="AN141" i="3"/>
  <c r="AM40" i="3"/>
  <c r="AN40" i="3" s="1"/>
  <c r="AO41" i="3" s="1"/>
  <c r="AP41" i="3" s="1"/>
  <c r="AL140" i="3"/>
  <c r="AK13" i="3"/>
  <c r="AL13" i="3" s="1"/>
  <c r="AJ113" i="3"/>
  <c r="AK28" i="3"/>
  <c r="AL28" i="3" s="1"/>
  <c r="AJ128" i="3"/>
  <c r="AK24" i="3"/>
  <c r="AL24" i="3" s="1"/>
  <c r="AJ124" i="3"/>
  <c r="AO47" i="3"/>
  <c r="AP47" i="3" s="1"/>
  <c r="AN147" i="3"/>
  <c r="AK38" i="3"/>
  <c r="AL38" i="3" s="1"/>
  <c r="AJ138" i="3"/>
  <c r="AM45" i="3"/>
  <c r="AN45" i="3" s="1"/>
  <c r="AL145" i="3"/>
  <c r="AK7" i="3"/>
  <c r="AL7" i="3" s="1"/>
  <c r="AJ107" i="3"/>
  <c r="AQ54" i="3"/>
  <c r="AR54" i="3" s="1"/>
  <c r="AP154" i="3"/>
  <c r="AO68" i="3"/>
  <c r="AP68" i="3" s="1"/>
  <c r="AQ67" i="3" s="1"/>
  <c r="AR67" i="3" s="1"/>
  <c r="AS66" i="3" s="1"/>
  <c r="AT66" i="3" s="1"/>
  <c r="AO70" i="3"/>
  <c r="AP70" i="3" s="1"/>
  <c r="AK23" i="3"/>
  <c r="AL23" i="3" s="1"/>
  <c r="AJ123" i="3"/>
  <c r="AM53" i="3"/>
  <c r="AN53" i="3" s="1"/>
  <c r="AL153" i="3"/>
  <c r="AK14" i="3"/>
  <c r="AL14" i="3" s="1"/>
  <c r="AJ114" i="3"/>
  <c r="AM59" i="3"/>
  <c r="AN59" i="3" s="1"/>
  <c r="AL159" i="3"/>
  <c r="AM61" i="3"/>
  <c r="AN61" i="3" s="1"/>
  <c r="AQ75" i="3"/>
  <c r="AR75" i="3" s="1"/>
  <c r="AS74" i="3" s="1"/>
  <c r="AT74" i="3" s="1"/>
  <c r="AQ77" i="3"/>
  <c r="AR77" i="3" s="1"/>
  <c r="AO51" i="3"/>
  <c r="AP51" i="3" s="1"/>
  <c r="AN151" i="3"/>
  <c r="AQ56" i="3"/>
  <c r="AR56" i="3" s="1"/>
  <c r="AP156" i="3"/>
  <c r="AK15" i="3"/>
  <c r="AL15" i="3" s="1"/>
  <c r="AJ115" i="3"/>
  <c r="AK40" i="3"/>
  <c r="AL40" i="3" s="1"/>
  <c r="AJ140" i="3"/>
  <c r="AK32" i="3"/>
  <c r="AL32" i="3" s="1"/>
  <c r="AJ132" i="3"/>
  <c r="AO49" i="3"/>
  <c r="AP49" i="3" s="1"/>
  <c r="AN149" i="3"/>
  <c r="AM51" i="3"/>
  <c r="AN51" i="3" s="1"/>
  <c r="AL151" i="3"/>
  <c r="AK36" i="3"/>
  <c r="AL36" i="3" s="1"/>
  <c r="AJ136" i="3"/>
  <c r="AK26" i="3"/>
  <c r="AL26" i="3" s="1"/>
  <c r="AJ126" i="3"/>
  <c r="AM47" i="3"/>
  <c r="AN47" i="3" s="1"/>
  <c r="AL147" i="3"/>
  <c r="AK10" i="3"/>
  <c r="AL10" i="3" s="1"/>
  <c r="AJ110" i="3"/>
  <c r="AK16" i="3"/>
  <c r="AL16" i="3" s="1"/>
  <c r="AJ116" i="3"/>
  <c r="AO45" i="3"/>
  <c r="AP45" i="3" s="1"/>
  <c r="AN145" i="3"/>
  <c r="AJ122" i="3"/>
  <c r="AK22" i="3"/>
  <c r="AL22" i="3" s="1"/>
  <c r="AK44" i="3"/>
  <c r="AL44" i="3" s="1"/>
  <c r="AO43" i="3"/>
  <c r="AP43" i="3" s="1"/>
  <c r="AN143" i="3"/>
  <c r="AK12" i="3"/>
  <c r="AL12" i="3" s="1"/>
  <c r="AJ112" i="3"/>
  <c r="AK21" i="3"/>
  <c r="AL21" i="3" s="1"/>
  <c r="AJ121" i="3"/>
  <c r="AM57" i="3"/>
  <c r="AN57" i="3" s="1"/>
  <c r="AL157" i="3"/>
  <c r="AK11" i="3"/>
  <c r="AL11" i="3" s="1"/>
  <c r="AJ111" i="3"/>
  <c r="AM55" i="3"/>
  <c r="AN55" i="3" s="1"/>
  <c r="AL155" i="3"/>
  <c r="AK20" i="3"/>
  <c r="AL20" i="3" s="1"/>
  <c r="AJ120" i="3"/>
  <c r="AK35" i="3"/>
  <c r="AL35" i="3" s="1"/>
  <c r="AJ135" i="3"/>
  <c r="AK27" i="3"/>
  <c r="AL27" i="3" s="1"/>
  <c r="AJ127" i="3"/>
  <c r="AQ58" i="3"/>
  <c r="AR58" i="3" s="1"/>
  <c r="AP158" i="3"/>
  <c r="AK29" i="3"/>
  <c r="AL29" i="3" s="1"/>
  <c r="AJ129" i="3"/>
  <c r="AK30" i="3"/>
  <c r="AL30" i="3" s="1"/>
  <c r="AJ130" i="3"/>
  <c r="AK37" i="3"/>
  <c r="AL37" i="3" s="1"/>
  <c r="AM38" i="3" s="1"/>
  <c r="AN38" i="3" s="1"/>
  <c r="AJ137" i="3"/>
  <c r="AK6" i="3"/>
  <c r="AL6" i="3" s="1"/>
  <c r="AL105" i="3" s="1"/>
  <c r="AJ106" i="3"/>
  <c r="AK18" i="3"/>
  <c r="AL18" i="3" s="1"/>
  <c r="AJ118" i="3"/>
  <c r="AO81" i="3"/>
  <c r="AP81" i="3" s="1"/>
  <c r="AK25" i="3"/>
  <c r="AL25" i="3" s="1"/>
  <c r="AJ125" i="3"/>
  <c r="AK8" i="3"/>
  <c r="AL8" i="3" s="1"/>
  <c r="AJ108" i="3"/>
  <c r="AT164" i="3"/>
  <c r="AK9" i="3"/>
  <c r="AL9" i="3" s="1"/>
  <c r="AJ109" i="3"/>
  <c r="AL138" i="3"/>
  <c r="AM49" i="3"/>
  <c r="AN49" i="3" s="1"/>
  <c r="AL149" i="3"/>
  <c r="AK31" i="3"/>
  <c r="AL31" i="3" s="1"/>
  <c r="AJ131" i="3"/>
  <c r="AK34" i="3"/>
  <c r="AL34" i="3" s="1"/>
  <c r="AJ134" i="3"/>
  <c r="AO84" i="3"/>
  <c r="AP84" i="3" s="1"/>
  <c r="AO82" i="3"/>
  <c r="AP82" i="3" s="1"/>
  <c r="AQ81" i="3" s="1"/>
  <c r="AR81" i="3" s="1"/>
  <c r="AS80" i="3" s="1"/>
  <c r="AT80" i="3" s="1"/>
  <c r="AQ60" i="3"/>
  <c r="AR60" i="3" s="1"/>
  <c r="AP160" i="3"/>
  <c r="AQ62" i="3"/>
  <c r="AR62" i="3" s="1"/>
  <c r="AO53" i="3"/>
  <c r="AP53" i="3" s="1"/>
  <c r="S186" i="3" l="1"/>
  <c r="AN11" i="4"/>
  <c r="AO11" i="4" s="1"/>
  <c r="AM111" i="4"/>
  <c r="AN12" i="4"/>
  <c r="AO12" i="4" s="1"/>
  <c r="AM112" i="4"/>
  <c r="AR54" i="4"/>
  <c r="AS54" i="4" s="1"/>
  <c r="AQ154" i="4"/>
  <c r="AN53" i="4"/>
  <c r="AO53" i="4" s="1"/>
  <c r="AM153" i="4"/>
  <c r="AR56" i="4"/>
  <c r="AS56" i="4" s="1"/>
  <c r="AQ156" i="4"/>
  <c r="AN35" i="4"/>
  <c r="AO35" i="4" s="1"/>
  <c r="AM135" i="4"/>
  <c r="AN39" i="4"/>
  <c r="AO39" i="4" s="1"/>
  <c r="AM139" i="4"/>
  <c r="AN38" i="4"/>
  <c r="AO38" i="4" s="1"/>
  <c r="AM138" i="4"/>
  <c r="AQ144" i="4"/>
  <c r="AN29" i="4"/>
  <c r="AO29" i="4" s="1"/>
  <c r="AM129" i="4"/>
  <c r="AT77" i="4"/>
  <c r="AU77" i="4" s="1"/>
  <c r="AV76" i="4" s="1"/>
  <c r="AW76" i="4" s="1"/>
  <c r="AX75" i="4" s="1"/>
  <c r="AY75" i="4" s="1"/>
  <c r="AZ74" i="4" s="1"/>
  <c r="BA74" i="4" s="1"/>
  <c r="BB73" i="4" s="1"/>
  <c r="BC73" i="4" s="1"/>
  <c r="AT79" i="4"/>
  <c r="AU79" i="4" s="1"/>
  <c r="AN18" i="4"/>
  <c r="AO18" i="4" s="1"/>
  <c r="AM118" i="4"/>
  <c r="AR46" i="4"/>
  <c r="AS46" i="4" s="1"/>
  <c r="AQ146" i="4"/>
  <c r="AN27" i="4"/>
  <c r="AO27" i="4" s="1"/>
  <c r="AM127" i="4"/>
  <c r="AR58" i="4"/>
  <c r="AS58" i="4" s="1"/>
  <c r="AQ158" i="4"/>
  <c r="AS162" i="4"/>
  <c r="AR7" i="4"/>
  <c r="AS7" i="4" s="1"/>
  <c r="AQ107" i="4"/>
  <c r="AN13" i="4"/>
  <c r="AO13" i="4" s="1"/>
  <c r="AM113" i="4"/>
  <c r="AR64" i="4"/>
  <c r="AS64" i="4" s="1"/>
  <c r="AR66" i="4"/>
  <c r="AS66" i="4" s="1"/>
  <c r="AN17" i="4"/>
  <c r="AO17" i="4" s="1"/>
  <c r="AM117" i="4"/>
  <c r="AN21" i="4"/>
  <c r="AO21" i="4" s="1"/>
  <c r="AM121" i="4"/>
  <c r="AN37" i="4"/>
  <c r="AO37" i="4" s="1"/>
  <c r="AM137" i="4"/>
  <c r="AN31" i="4"/>
  <c r="AO31" i="4" s="1"/>
  <c r="AM131" i="4"/>
  <c r="AR60" i="4"/>
  <c r="AS60" i="4" s="1"/>
  <c r="AQ160" i="4"/>
  <c r="AR62" i="4"/>
  <c r="AS62" i="4" s="1"/>
  <c r="AQ162" i="4"/>
  <c r="BB84" i="4"/>
  <c r="BC84" i="4" s="1"/>
  <c r="AN24" i="4"/>
  <c r="AO24" i="4" s="1"/>
  <c r="AM124" i="4"/>
  <c r="AN34" i="4"/>
  <c r="AO34" i="4" s="1"/>
  <c r="AM134" i="4"/>
  <c r="AN33" i="4"/>
  <c r="AO33" i="4" s="1"/>
  <c r="AM133" i="4"/>
  <c r="AN49" i="4"/>
  <c r="AO49" i="4" s="1"/>
  <c r="AM149" i="4"/>
  <c r="AN28" i="4"/>
  <c r="AO28" i="4" s="1"/>
  <c r="AM128" i="4"/>
  <c r="AN14" i="4"/>
  <c r="AO14" i="4" s="1"/>
  <c r="AM114" i="4"/>
  <c r="AR6" i="4"/>
  <c r="AS6" i="4" s="1"/>
  <c r="AS105" i="4" s="1"/>
  <c r="AQ106" i="4"/>
  <c r="AT76" i="4"/>
  <c r="AU76" i="4" s="1"/>
  <c r="AV75" i="4" s="1"/>
  <c r="AW75" i="4" s="1"/>
  <c r="AX74" i="4" s="1"/>
  <c r="AY74" i="4" s="1"/>
  <c r="AZ73" i="4" s="1"/>
  <c r="BA73" i="4" s="1"/>
  <c r="BB72" i="4" s="1"/>
  <c r="BC72" i="4" s="1"/>
  <c r="AT78" i="4"/>
  <c r="AU78" i="4" s="1"/>
  <c r="AN16" i="4"/>
  <c r="AO16" i="4" s="1"/>
  <c r="AM116" i="4"/>
  <c r="AN19" i="4"/>
  <c r="AO19" i="4" s="1"/>
  <c r="AM119" i="4"/>
  <c r="AN47" i="4"/>
  <c r="AO47" i="4" s="1"/>
  <c r="AM147" i="4"/>
  <c r="AR8" i="4"/>
  <c r="AS8" i="4" s="1"/>
  <c r="AQ108" i="4"/>
  <c r="AN22" i="4"/>
  <c r="AO22" i="4" s="1"/>
  <c r="AM122" i="4"/>
  <c r="AN15" i="4"/>
  <c r="AO15" i="4" s="1"/>
  <c r="AM115" i="4"/>
  <c r="AN43" i="4"/>
  <c r="AO43" i="4" s="1"/>
  <c r="AM143" i="4"/>
  <c r="AN26" i="4"/>
  <c r="AO26" i="4" s="1"/>
  <c r="AM126" i="4"/>
  <c r="AR50" i="4"/>
  <c r="AS50" i="4" s="1"/>
  <c r="AQ150" i="4"/>
  <c r="AN41" i="4"/>
  <c r="AO41" i="4" s="1"/>
  <c r="AM141" i="4"/>
  <c r="AT64" i="4"/>
  <c r="AU64" i="4" s="1"/>
  <c r="AT66" i="4"/>
  <c r="AU66" i="4" s="1"/>
  <c r="AN51" i="4"/>
  <c r="AO51" i="4" s="1"/>
  <c r="AM151" i="4"/>
  <c r="AN57" i="4"/>
  <c r="AO57" i="4" s="1"/>
  <c r="AM157" i="4"/>
  <c r="AN59" i="4"/>
  <c r="AO59" i="4" s="1"/>
  <c r="AP41" i="4"/>
  <c r="AQ41" i="4" s="1"/>
  <c r="AO141" i="4"/>
  <c r="AX83" i="4"/>
  <c r="AY83" i="4" s="1"/>
  <c r="AR48" i="4"/>
  <c r="AS48" i="4" s="1"/>
  <c r="AQ148" i="4"/>
  <c r="AN36" i="4"/>
  <c r="AO36" i="4" s="1"/>
  <c r="AM136" i="4"/>
  <c r="AN45" i="4"/>
  <c r="AO45" i="4" s="1"/>
  <c r="AM145" i="4"/>
  <c r="AN23" i="4"/>
  <c r="AO23" i="4" s="1"/>
  <c r="AM123" i="4"/>
  <c r="AP43" i="4"/>
  <c r="AQ43" i="4" s="1"/>
  <c r="AN32" i="4"/>
  <c r="AO32" i="4" s="1"/>
  <c r="AM132" i="4"/>
  <c r="AO139" i="4"/>
  <c r="AN30" i="4"/>
  <c r="AO30" i="4" s="1"/>
  <c r="AM130" i="4"/>
  <c r="AN25" i="4"/>
  <c r="AO25" i="4" s="1"/>
  <c r="AM125" i="4"/>
  <c r="AN55" i="4"/>
  <c r="AO55" i="4" s="1"/>
  <c r="AM155" i="4"/>
  <c r="AR52" i="4"/>
  <c r="AS52" i="4" s="1"/>
  <c r="AQ152" i="4"/>
  <c r="AN20" i="4"/>
  <c r="AO20" i="4" s="1"/>
  <c r="AM120" i="4"/>
  <c r="AP140" i="3"/>
  <c r="AM34" i="3"/>
  <c r="AN34" i="3" s="1"/>
  <c r="AL134" i="3"/>
  <c r="AS57" i="3"/>
  <c r="AT57" i="3" s="1"/>
  <c r="AR157" i="3"/>
  <c r="AS69" i="3"/>
  <c r="AT69" i="3" s="1"/>
  <c r="AU68" i="3" s="1"/>
  <c r="AV68" i="3" s="1"/>
  <c r="AW67" i="3" s="1"/>
  <c r="AX67" i="3" s="1"/>
  <c r="AS71" i="3"/>
  <c r="AT71" i="3" s="1"/>
  <c r="AM7" i="3"/>
  <c r="AN7" i="3" s="1"/>
  <c r="AL107" i="3"/>
  <c r="AM6" i="3"/>
  <c r="AN6" i="3" s="1"/>
  <c r="AN105" i="3" s="1"/>
  <c r="AL106" i="3"/>
  <c r="AQ80" i="3"/>
  <c r="AR80" i="3" s="1"/>
  <c r="AS79" i="3" s="1"/>
  <c r="AT79" i="3" s="1"/>
  <c r="AU78" i="3" s="1"/>
  <c r="AV78" i="3" s="1"/>
  <c r="AW77" i="3" s="1"/>
  <c r="AX77" i="3" s="1"/>
  <c r="AY76" i="3" s="1"/>
  <c r="AZ76" i="3" s="1"/>
  <c r="AQ82" i="3"/>
  <c r="AR82" i="3" s="1"/>
  <c r="AQ48" i="3"/>
  <c r="AR48" i="3" s="1"/>
  <c r="AP148" i="3"/>
  <c r="AV165" i="3"/>
  <c r="AM12" i="3"/>
  <c r="AN12" i="3" s="1"/>
  <c r="AL112" i="3"/>
  <c r="AQ42" i="3"/>
  <c r="AR42" i="3" s="1"/>
  <c r="AP142" i="3"/>
  <c r="AM33" i="3"/>
  <c r="AN33" i="3" s="1"/>
  <c r="AL133" i="3"/>
  <c r="AM21" i="3"/>
  <c r="AN21" i="3" s="1"/>
  <c r="AL121" i="3"/>
  <c r="AM37" i="3"/>
  <c r="AN37" i="3" s="1"/>
  <c r="AL137" i="3"/>
  <c r="AS59" i="3"/>
  <c r="AT59" i="3" s="1"/>
  <c r="AR159" i="3"/>
  <c r="AO39" i="3"/>
  <c r="AP39" i="3" s="1"/>
  <c r="AN139" i="3"/>
  <c r="AO60" i="3"/>
  <c r="AP60" i="3" s="1"/>
  <c r="AN160" i="3"/>
  <c r="AO62" i="3"/>
  <c r="AP62" i="3" s="1"/>
  <c r="AM30" i="3"/>
  <c r="AN30" i="3" s="1"/>
  <c r="AL130" i="3"/>
  <c r="AO54" i="3"/>
  <c r="AP54" i="3" s="1"/>
  <c r="AN154" i="3"/>
  <c r="AQ44" i="3"/>
  <c r="AR44" i="3" s="1"/>
  <c r="AP144" i="3"/>
  <c r="AM31" i="3"/>
  <c r="AN31" i="3" s="1"/>
  <c r="AL131" i="3"/>
  <c r="AM13" i="3"/>
  <c r="AN13" i="3" s="1"/>
  <c r="AL113" i="3"/>
  <c r="AM16" i="3"/>
  <c r="AN16" i="3" s="1"/>
  <c r="AL116" i="3"/>
  <c r="AM11" i="3"/>
  <c r="AN11" i="3" s="1"/>
  <c r="AL111" i="3"/>
  <c r="AO58" i="3"/>
  <c r="AP58" i="3" s="1"/>
  <c r="AN158" i="3"/>
  <c r="AO48" i="3"/>
  <c r="AP48" i="3" s="1"/>
  <c r="AN148" i="3"/>
  <c r="AN137" i="3"/>
  <c r="AM36" i="3"/>
  <c r="AN36" i="3" s="1"/>
  <c r="AL136" i="3"/>
  <c r="AM10" i="3"/>
  <c r="AN10" i="3" s="1"/>
  <c r="AL110" i="3"/>
  <c r="AM15" i="3"/>
  <c r="AN15" i="3" s="1"/>
  <c r="AL115" i="3"/>
  <c r="AM39" i="3"/>
  <c r="AN39" i="3" s="1"/>
  <c r="AL139" i="3"/>
  <c r="AO52" i="3"/>
  <c r="AP52" i="3" s="1"/>
  <c r="AN152" i="3"/>
  <c r="AQ46" i="3"/>
  <c r="AR46" i="3" s="1"/>
  <c r="AP146" i="3"/>
  <c r="AM32" i="3"/>
  <c r="AN32" i="3" s="1"/>
  <c r="AL132" i="3"/>
  <c r="AM35" i="3"/>
  <c r="AN35" i="3" s="1"/>
  <c r="AL135" i="3"/>
  <c r="AO50" i="3"/>
  <c r="AP50" i="3" s="1"/>
  <c r="AN150" i="3"/>
  <c r="AM17" i="3"/>
  <c r="AN17" i="3" s="1"/>
  <c r="AL117" i="3"/>
  <c r="AS76" i="3"/>
  <c r="AT76" i="3" s="1"/>
  <c r="AU75" i="3" s="1"/>
  <c r="AV75" i="3" s="1"/>
  <c r="AS78" i="3"/>
  <c r="AT78" i="3" s="1"/>
  <c r="AU77" i="3" s="1"/>
  <c r="AV77" i="3" s="1"/>
  <c r="AW76" i="3" s="1"/>
  <c r="AX76" i="3" s="1"/>
  <c r="AN144" i="3"/>
  <c r="AL108" i="3"/>
  <c r="AM8" i="3"/>
  <c r="AN8" i="3" s="1"/>
  <c r="AM29" i="3"/>
  <c r="AN29" i="3" s="1"/>
  <c r="AL129" i="3"/>
  <c r="AO56" i="3"/>
  <c r="AP56" i="3" s="1"/>
  <c r="AN156" i="3"/>
  <c r="AM9" i="3"/>
  <c r="AN9" i="3" s="1"/>
  <c r="AL109" i="3"/>
  <c r="AM14" i="3"/>
  <c r="AN14" i="3" s="1"/>
  <c r="AL114" i="3"/>
  <c r="AM22" i="3"/>
  <c r="AN22" i="3" s="1"/>
  <c r="AL122" i="3"/>
  <c r="AM23" i="3"/>
  <c r="AN23" i="3" s="1"/>
  <c r="AL123" i="3"/>
  <c r="AM41" i="3"/>
  <c r="AN41" i="3" s="1"/>
  <c r="AL141" i="3"/>
  <c r="AQ50" i="3"/>
  <c r="AR50" i="3" s="1"/>
  <c r="AP150" i="3"/>
  <c r="AM24" i="3"/>
  <c r="AN24" i="3" s="1"/>
  <c r="AL124" i="3"/>
  <c r="AQ52" i="3"/>
  <c r="AR52" i="3" s="1"/>
  <c r="AP152" i="3"/>
  <c r="AQ69" i="3"/>
  <c r="AR69" i="3" s="1"/>
  <c r="AS68" i="3" s="1"/>
  <c r="AT68" i="3" s="1"/>
  <c r="AU67" i="3" s="1"/>
  <c r="AV67" i="3" s="1"/>
  <c r="AQ71" i="3"/>
  <c r="AR71" i="3" s="1"/>
  <c r="AS53" i="3"/>
  <c r="AT53" i="3" s="1"/>
  <c r="AR153" i="3"/>
  <c r="AQ83" i="3"/>
  <c r="AR83" i="3" s="1"/>
  <c r="AS61" i="3"/>
  <c r="AT61" i="3" s="1"/>
  <c r="AR161" i="3"/>
  <c r="AS63" i="3"/>
  <c r="AT63" i="3" s="1"/>
  <c r="AM28" i="3"/>
  <c r="AN28" i="3" s="1"/>
  <c r="AL128" i="3"/>
  <c r="AO46" i="3"/>
  <c r="AP46" i="3" s="1"/>
  <c r="AN146" i="3"/>
  <c r="AS55" i="3"/>
  <c r="AT55" i="3" s="1"/>
  <c r="AR155" i="3"/>
  <c r="AM27" i="3"/>
  <c r="AN27" i="3" s="1"/>
  <c r="AL127" i="3"/>
  <c r="AM18" i="3"/>
  <c r="AN18" i="3" s="1"/>
  <c r="AL118" i="3"/>
  <c r="AM25" i="3"/>
  <c r="AN25" i="3" s="1"/>
  <c r="AL125" i="3"/>
  <c r="AM26" i="3"/>
  <c r="AN26" i="3" s="1"/>
  <c r="AL126" i="3"/>
  <c r="AM43" i="3"/>
  <c r="AN43" i="3" s="1"/>
  <c r="AL143" i="3"/>
  <c r="AM19" i="3"/>
  <c r="AN19" i="3" s="1"/>
  <c r="AL119" i="3"/>
  <c r="AM20" i="3"/>
  <c r="AN20" i="3" s="1"/>
  <c r="AL120" i="3"/>
  <c r="T186" i="3" l="1"/>
  <c r="AP11" i="4"/>
  <c r="AQ11" i="4" s="1"/>
  <c r="AO111" i="4"/>
  <c r="AP10" i="4"/>
  <c r="AQ10" i="4" s="1"/>
  <c r="AO110" i="4"/>
  <c r="AP12" i="4"/>
  <c r="AQ12" i="4" s="1"/>
  <c r="AO112" i="4"/>
  <c r="AP28" i="4"/>
  <c r="AQ28" i="4" s="1"/>
  <c r="AO128" i="4"/>
  <c r="AP31" i="4"/>
  <c r="AQ31" i="4" s="1"/>
  <c r="AO131" i="4"/>
  <c r="AP56" i="4"/>
  <c r="AQ56" i="4" s="1"/>
  <c r="AO156" i="4"/>
  <c r="AU163" i="4"/>
  <c r="AT7" i="4"/>
  <c r="AU7" i="4" s="1"/>
  <c r="AS107" i="4"/>
  <c r="AP27" i="4"/>
  <c r="AQ27" i="4" s="1"/>
  <c r="AO127" i="4"/>
  <c r="AP30" i="4"/>
  <c r="AQ30" i="4" s="1"/>
  <c r="AO130" i="4"/>
  <c r="AT57" i="4"/>
  <c r="AU57" i="4" s="1"/>
  <c r="AS157" i="4"/>
  <c r="AP38" i="4"/>
  <c r="AQ38" i="4" s="1"/>
  <c r="AO138" i="4"/>
  <c r="AR42" i="4"/>
  <c r="AS42" i="4" s="1"/>
  <c r="AQ142" i="4"/>
  <c r="AP21" i="4"/>
  <c r="AQ21" i="4" s="1"/>
  <c r="AO121" i="4"/>
  <c r="AT51" i="4"/>
  <c r="AU51" i="4" s="1"/>
  <c r="AS151" i="4"/>
  <c r="AP44" i="4"/>
  <c r="AQ44" i="4" s="1"/>
  <c r="AO144" i="4"/>
  <c r="AP42" i="4"/>
  <c r="AQ42" i="4" s="1"/>
  <c r="AO142" i="4"/>
  <c r="AP40" i="4"/>
  <c r="AQ40" i="4" s="1"/>
  <c r="AO140" i="4"/>
  <c r="AP46" i="4"/>
  <c r="AQ46" i="4" s="1"/>
  <c r="AO146" i="4"/>
  <c r="AP48" i="4"/>
  <c r="AQ48" i="4" s="1"/>
  <c r="AO148" i="4"/>
  <c r="AP36" i="4"/>
  <c r="AQ36" i="4" s="1"/>
  <c r="AO136" i="4"/>
  <c r="AP26" i="4"/>
  <c r="AQ26" i="4" s="1"/>
  <c r="AO126" i="4"/>
  <c r="AP34" i="4"/>
  <c r="AQ34" i="4" s="1"/>
  <c r="AO134" i="4"/>
  <c r="AP22" i="4"/>
  <c r="AQ22" i="4" s="1"/>
  <c r="AO122" i="4"/>
  <c r="AT61" i="4"/>
  <c r="AU61" i="4" s="1"/>
  <c r="AS161" i="4"/>
  <c r="AP37" i="4"/>
  <c r="AQ37" i="4" s="1"/>
  <c r="AO137" i="4"/>
  <c r="AT49" i="4"/>
  <c r="AU49" i="4" s="1"/>
  <c r="AS149" i="4"/>
  <c r="AP32" i="4"/>
  <c r="AQ32" i="4" s="1"/>
  <c r="AO132" i="4"/>
  <c r="AP20" i="4"/>
  <c r="AQ20" i="4" s="1"/>
  <c r="AO120" i="4"/>
  <c r="AS145" i="4"/>
  <c r="AT55" i="4"/>
  <c r="AU55" i="4" s="1"/>
  <c r="AS155" i="4"/>
  <c r="AR44" i="4"/>
  <c r="AS44" i="4" s="1"/>
  <c r="AT45" i="4" s="1"/>
  <c r="AU45" i="4" s="1"/>
  <c r="AT59" i="4"/>
  <c r="AU59" i="4" s="1"/>
  <c r="AS159" i="4"/>
  <c r="AP24" i="4"/>
  <c r="AQ24" i="4" s="1"/>
  <c r="AO124" i="4"/>
  <c r="AT47" i="4"/>
  <c r="AU47" i="4" s="1"/>
  <c r="AS147" i="4"/>
  <c r="AP50" i="4"/>
  <c r="AQ50" i="4" s="1"/>
  <c r="AO150" i="4"/>
  <c r="AP35" i="4"/>
  <c r="AQ35" i="4" s="1"/>
  <c r="AO135" i="4"/>
  <c r="AZ84" i="4"/>
  <c r="BA84" i="4" s="1"/>
  <c r="AP18" i="4"/>
  <c r="AQ18" i="4" s="1"/>
  <c r="AO118" i="4"/>
  <c r="AP33" i="4"/>
  <c r="AQ33" i="4" s="1"/>
  <c r="AO133" i="4"/>
  <c r="AP16" i="4"/>
  <c r="AQ16" i="4" s="1"/>
  <c r="AO116" i="4"/>
  <c r="AP17" i="4"/>
  <c r="AQ17" i="4" s="1"/>
  <c r="AO117" i="4"/>
  <c r="AP52" i="4"/>
  <c r="AQ52" i="4" s="1"/>
  <c r="AO152" i="4"/>
  <c r="AV65" i="4"/>
  <c r="AW65" i="4" s="1"/>
  <c r="AV67" i="4"/>
  <c r="AW67" i="4" s="1"/>
  <c r="AP29" i="4"/>
  <c r="AQ29" i="4" s="1"/>
  <c r="AO129" i="4"/>
  <c r="AT65" i="4"/>
  <c r="AU65" i="4" s="1"/>
  <c r="AT67" i="4"/>
  <c r="AU67" i="4" s="1"/>
  <c r="AV78" i="4"/>
  <c r="AW78" i="4" s="1"/>
  <c r="AX77" i="4" s="1"/>
  <c r="AY77" i="4" s="1"/>
  <c r="AZ76" i="4" s="1"/>
  <c r="BA76" i="4" s="1"/>
  <c r="BB75" i="4" s="1"/>
  <c r="BC75" i="4" s="1"/>
  <c r="BD74" i="4" s="1"/>
  <c r="BE74" i="4" s="1"/>
  <c r="AV80" i="4"/>
  <c r="AW80" i="4" s="1"/>
  <c r="AT6" i="4"/>
  <c r="AU6" i="4" s="1"/>
  <c r="AU105" i="4" s="1"/>
  <c r="AS106" i="4"/>
  <c r="AP19" i="4"/>
  <c r="AQ19" i="4" s="1"/>
  <c r="AO119" i="4"/>
  <c r="AP54" i="4"/>
  <c r="AQ54" i="4" s="1"/>
  <c r="AO154" i="4"/>
  <c r="AR40" i="4"/>
  <c r="AS40" i="4" s="1"/>
  <c r="AQ140" i="4"/>
  <c r="AP25" i="4"/>
  <c r="AQ25" i="4" s="1"/>
  <c r="AO125" i="4"/>
  <c r="AP15" i="4"/>
  <c r="AQ15" i="4" s="1"/>
  <c r="AO115" i="4"/>
  <c r="AP23" i="4"/>
  <c r="AQ23" i="4" s="1"/>
  <c r="AO123" i="4"/>
  <c r="AT63" i="4"/>
  <c r="AU63" i="4" s="1"/>
  <c r="AS163" i="4"/>
  <c r="AP14" i="4"/>
  <c r="AQ14" i="4" s="1"/>
  <c r="AO114" i="4"/>
  <c r="AP13" i="4"/>
  <c r="AQ13" i="4" s="1"/>
  <c r="AO113" i="4"/>
  <c r="AP39" i="4"/>
  <c r="AQ39" i="4" s="1"/>
  <c r="AP58" i="4"/>
  <c r="AQ58" i="4" s="1"/>
  <c r="AO158" i="4"/>
  <c r="AP60" i="4"/>
  <c r="AQ60" i="4" s="1"/>
  <c r="AV77" i="4"/>
  <c r="AW77" i="4" s="1"/>
  <c r="AX76" i="4" s="1"/>
  <c r="AY76" i="4" s="1"/>
  <c r="AZ75" i="4" s="1"/>
  <c r="BA75" i="4" s="1"/>
  <c r="BB74" i="4" s="1"/>
  <c r="BC74" i="4" s="1"/>
  <c r="BD73" i="4" s="1"/>
  <c r="BE73" i="4" s="1"/>
  <c r="AV79" i="4"/>
  <c r="AW79" i="4" s="1"/>
  <c r="AT53" i="4"/>
  <c r="AU53" i="4" s="1"/>
  <c r="AS153" i="4"/>
  <c r="AN115" i="3"/>
  <c r="AO15" i="3"/>
  <c r="AP15" i="3" s="1"/>
  <c r="AP138" i="3"/>
  <c r="AS47" i="3"/>
  <c r="AT47" i="3" s="1"/>
  <c r="AR147" i="3"/>
  <c r="AO42" i="3"/>
  <c r="AP42" i="3" s="1"/>
  <c r="AN142" i="3"/>
  <c r="AU62" i="3"/>
  <c r="AV62" i="3" s="1"/>
  <c r="AT162" i="3"/>
  <c r="AU64" i="3"/>
  <c r="AV64" i="3" s="1"/>
  <c r="AU79" i="3"/>
  <c r="AV79" i="3" s="1"/>
  <c r="AW78" i="3" s="1"/>
  <c r="AX78" i="3" s="1"/>
  <c r="AY77" i="3" s="1"/>
  <c r="AZ77" i="3" s="1"/>
  <c r="AQ49" i="3"/>
  <c r="AR49" i="3" s="1"/>
  <c r="AP149" i="3"/>
  <c r="AO35" i="3"/>
  <c r="AP35" i="3" s="1"/>
  <c r="AN135" i="3"/>
  <c r="AS82" i="3"/>
  <c r="AT82" i="3" s="1"/>
  <c r="AU81" i="3" s="1"/>
  <c r="AV81" i="3" s="1"/>
  <c r="AS84" i="3"/>
  <c r="AT84" i="3" s="1"/>
  <c r="AU83" i="3" s="1"/>
  <c r="AV83" i="3" s="1"/>
  <c r="AO16" i="3"/>
  <c r="AP16" i="3" s="1"/>
  <c r="AN116" i="3"/>
  <c r="AO8" i="3"/>
  <c r="AP8" i="3" s="1"/>
  <c r="AN108" i="3"/>
  <c r="AS43" i="3"/>
  <c r="AT43" i="3" s="1"/>
  <c r="AR143" i="3"/>
  <c r="AO20" i="3"/>
  <c r="AP20" i="3" s="1"/>
  <c r="AN120" i="3"/>
  <c r="AO6" i="3"/>
  <c r="AP6" i="3" s="1"/>
  <c r="AP105" i="3" s="1"/>
  <c r="AN106" i="3"/>
  <c r="AS81" i="3"/>
  <c r="AT81" i="3" s="1"/>
  <c r="AU80" i="3" s="1"/>
  <c r="AV80" i="3" s="1"/>
  <c r="AW79" i="3" s="1"/>
  <c r="AX79" i="3" s="1"/>
  <c r="AY78" i="3" s="1"/>
  <c r="AZ78" i="3" s="1"/>
  <c r="BA77" i="3" s="1"/>
  <c r="BB77" i="3" s="1"/>
  <c r="AS83" i="3"/>
  <c r="AT83" i="3" s="1"/>
  <c r="AO9" i="3"/>
  <c r="AP9" i="3" s="1"/>
  <c r="AN109" i="3"/>
  <c r="AO34" i="3"/>
  <c r="AP34" i="3" s="1"/>
  <c r="AN134" i="3"/>
  <c r="AO37" i="3"/>
  <c r="AP37" i="3" s="1"/>
  <c r="AU70" i="3"/>
  <c r="AV70" i="3" s="1"/>
  <c r="AW69" i="3" s="1"/>
  <c r="AX69" i="3" s="1"/>
  <c r="AY68" i="3" s="1"/>
  <c r="AZ68" i="3" s="1"/>
  <c r="AU72" i="3"/>
  <c r="AV72" i="3" s="1"/>
  <c r="AO22" i="3"/>
  <c r="AP22" i="3" s="1"/>
  <c r="AN122" i="3"/>
  <c r="AO21" i="3"/>
  <c r="AP21" i="3" s="1"/>
  <c r="AN121" i="3"/>
  <c r="AS70" i="3"/>
  <c r="AT70" i="3" s="1"/>
  <c r="AU69" i="3" s="1"/>
  <c r="AV69" i="3" s="1"/>
  <c r="AW68" i="3" s="1"/>
  <c r="AX68" i="3" s="1"/>
  <c r="AS72" i="3"/>
  <c r="AT72" i="3" s="1"/>
  <c r="AO26" i="3"/>
  <c r="AP26" i="3" s="1"/>
  <c r="AN126" i="3"/>
  <c r="AO31" i="3"/>
  <c r="AP31" i="3" s="1"/>
  <c r="AN131" i="3"/>
  <c r="AQ47" i="3"/>
  <c r="AR47" i="3" s="1"/>
  <c r="AP147" i="3"/>
  <c r="AT152" i="3"/>
  <c r="AO17" i="3"/>
  <c r="AP17" i="3" s="1"/>
  <c r="AN117" i="3"/>
  <c r="AQ55" i="3"/>
  <c r="AR55" i="3" s="1"/>
  <c r="AP155" i="3"/>
  <c r="AO23" i="3"/>
  <c r="AP23" i="3" s="1"/>
  <c r="AN123" i="3"/>
  <c r="AR141" i="3"/>
  <c r="AU56" i="3"/>
  <c r="AV56" i="3" s="1"/>
  <c r="AT156" i="3"/>
  <c r="AO25" i="3"/>
  <c r="AP25" i="3" s="1"/>
  <c r="AN125" i="3"/>
  <c r="AU58" i="3"/>
  <c r="AV58" i="3" s="1"/>
  <c r="AT158" i="3"/>
  <c r="AO36" i="3"/>
  <c r="AP36" i="3" s="1"/>
  <c r="AN136" i="3"/>
  <c r="AO19" i="3"/>
  <c r="AP19" i="3" s="1"/>
  <c r="AN119" i="3"/>
  <c r="AO7" i="3"/>
  <c r="AP7" i="3" s="1"/>
  <c r="AN107" i="3"/>
  <c r="U186" i="3" s="1"/>
  <c r="AS45" i="3"/>
  <c r="AT45" i="3" s="1"/>
  <c r="AR145" i="3"/>
  <c r="AQ57" i="3"/>
  <c r="AR57" i="3" s="1"/>
  <c r="AP157" i="3"/>
  <c r="AO29" i="3"/>
  <c r="AP29" i="3" s="1"/>
  <c r="AN129" i="3"/>
  <c r="AO14" i="3"/>
  <c r="AP14" i="3" s="1"/>
  <c r="AN114" i="3"/>
  <c r="AO24" i="3"/>
  <c r="AP24" i="3" s="1"/>
  <c r="AN124" i="3"/>
  <c r="AO30" i="3"/>
  <c r="AP30" i="3" s="1"/>
  <c r="AN130" i="3"/>
  <c r="AS51" i="3"/>
  <c r="AT51" i="3" s="1"/>
  <c r="AR151" i="3"/>
  <c r="AO32" i="3"/>
  <c r="AP32" i="3" s="1"/>
  <c r="AN132" i="3"/>
  <c r="AP145" i="3"/>
  <c r="AS49" i="3"/>
  <c r="AT49" i="3" s="1"/>
  <c r="AR149" i="3"/>
  <c r="AQ61" i="3"/>
  <c r="AR61" i="3" s="1"/>
  <c r="AP161" i="3"/>
  <c r="AQ63" i="3"/>
  <c r="AR63" i="3" s="1"/>
  <c r="AO11" i="3"/>
  <c r="AP11" i="3" s="1"/>
  <c r="AN111" i="3"/>
  <c r="AO33" i="3"/>
  <c r="AP33" i="3" s="1"/>
  <c r="AN133" i="3"/>
  <c r="AO38" i="3"/>
  <c r="AP38" i="3" s="1"/>
  <c r="AN138" i="3"/>
  <c r="AU60" i="3"/>
  <c r="AV60" i="3" s="1"/>
  <c r="AT160" i="3"/>
  <c r="AO12" i="3"/>
  <c r="AP12" i="3" s="1"/>
  <c r="AN112" i="3"/>
  <c r="AO13" i="3"/>
  <c r="AP13" i="3" s="1"/>
  <c r="AN113" i="3"/>
  <c r="AQ53" i="3"/>
  <c r="AR53" i="3" s="1"/>
  <c r="AP153" i="3"/>
  <c r="AU54" i="3"/>
  <c r="AV54" i="3" s="1"/>
  <c r="AT154" i="3"/>
  <c r="AO18" i="3"/>
  <c r="AP18" i="3" s="1"/>
  <c r="AN118" i="3"/>
  <c r="AQ51" i="3"/>
  <c r="AR51" i="3" s="1"/>
  <c r="AP151" i="3"/>
  <c r="AO10" i="3"/>
  <c r="AP10" i="3" s="1"/>
  <c r="AN110" i="3"/>
  <c r="AX166" i="3"/>
  <c r="AO28" i="3"/>
  <c r="AP28" i="3" s="1"/>
  <c r="AN128" i="3"/>
  <c r="AO27" i="3"/>
  <c r="AP27" i="3" s="1"/>
  <c r="AN127" i="3"/>
  <c r="AO40" i="3"/>
  <c r="AP40" i="3" s="1"/>
  <c r="AN140" i="3"/>
  <c r="AO44" i="3"/>
  <c r="AP44" i="3" s="1"/>
  <c r="AQ45" i="3" s="1"/>
  <c r="AR45" i="3" s="1"/>
  <c r="AQ59" i="3"/>
  <c r="AR59" i="3" s="1"/>
  <c r="AP159" i="3"/>
  <c r="AQ40" i="3"/>
  <c r="AR40" i="3" s="1"/>
  <c r="AS41" i="3" s="1"/>
  <c r="AT41" i="3" s="1"/>
  <c r="AR9" i="4" l="1"/>
  <c r="AS9" i="4" s="1"/>
  <c r="AQ109" i="4"/>
  <c r="AR10" i="4"/>
  <c r="AS10" i="4" s="1"/>
  <c r="AQ110" i="4"/>
  <c r="AU144" i="4"/>
  <c r="AR26" i="4"/>
  <c r="AS26" i="4" s="1"/>
  <c r="AQ126" i="4"/>
  <c r="AV64" i="4"/>
  <c r="AW64" i="4" s="1"/>
  <c r="AU164" i="4"/>
  <c r="AR39" i="4"/>
  <c r="AS39" i="4" s="1"/>
  <c r="AQ139" i="4"/>
  <c r="AR41" i="4"/>
  <c r="AS41" i="4" s="1"/>
  <c r="AQ141" i="4"/>
  <c r="AR33" i="4"/>
  <c r="AS33" i="4" s="1"/>
  <c r="AQ133" i="4"/>
  <c r="AV50" i="4"/>
  <c r="AW50" i="4" s="1"/>
  <c r="AU150" i="4"/>
  <c r="AV62" i="4"/>
  <c r="AW62" i="4" s="1"/>
  <c r="AU162" i="4"/>
  <c r="AR43" i="4"/>
  <c r="AS43" i="4" s="1"/>
  <c r="AQ143" i="4"/>
  <c r="AX78" i="4"/>
  <c r="AY78" i="4" s="1"/>
  <c r="AZ77" i="4" s="1"/>
  <c r="BA77" i="4" s="1"/>
  <c r="BB76" i="4" s="1"/>
  <c r="BC76" i="4" s="1"/>
  <c r="BD75" i="4" s="1"/>
  <c r="BE75" i="4" s="1"/>
  <c r="BF74" i="4" s="1"/>
  <c r="BG74" i="4" s="1"/>
  <c r="AX80" i="4"/>
  <c r="AY80" i="4" s="1"/>
  <c r="AR14" i="4"/>
  <c r="AS14" i="4" s="1"/>
  <c r="AQ114" i="4"/>
  <c r="AR28" i="4"/>
  <c r="AS28" i="4" s="1"/>
  <c r="AQ128" i="4"/>
  <c r="AR36" i="4"/>
  <c r="AS36" i="4" s="1"/>
  <c r="AQ136" i="4"/>
  <c r="AT43" i="4"/>
  <c r="AU43" i="4" s="1"/>
  <c r="AS143" i="4"/>
  <c r="AR17" i="4"/>
  <c r="AS17" i="4" s="1"/>
  <c r="AQ117" i="4"/>
  <c r="AR21" i="4"/>
  <c r="AS21" i="4" s="1"/>
  <c r="AQ121" i="4"/>
  <c r="AX66" i="4"/>
  <c r="AY66" i="4" s="1"/>
  <c r="AX68" i="4"/>
  <c r="AY68" i="4" s="1"/>
  <c r="AR19" i="4"/>
  <c r="AS19" i="4" s="1"/>
  <c r="AQ119" i="4"/>
  <c r="AR25" i="4"/>
  <c r="AS25" i="4" s="1"/>
  <c r="AQ125" i="4"/>
  <c r="AR20" i="4"/>
  <c r="AS20" i="4" s="1"/>
  <c r="AQ120" i="4"/>
  <c r="AR55" i="4"/>
  <c r="AS55" i="4" s="1"/>
  <c r="AQ155" i="4"/>
  <c r="AV66" i="4"/>
  <c r="AW66" i="4" s="1"/>
  <c r="AV68" i="4"/>
  <c r="AW68" i="4" s="1"/>
  <c r="AR59" i="4"/>
  <c r="AS59" i="4" s="1"/>
  <c r="AQ159" i="4"/>
  <c r="AR61" i="4"/>
  <c r="AS61" i="4" s="1"/>
  <c r="AV60" i="4"/>
  <c r="AW60" i="4" s="1"/>
  <c r="AU160" i="4"/>
  <c r="AR22" i="4"/>
  <c r="AS22" i="4" s="1"/>
  <c r="AQ122" i="4"/>
  <c r="AR24" i="4"/>
  <c r="AS24" i="4" s="1"/>
  <c r="AQ124" i="4"/>
  <c r="AR31" i="4"/>
  <c r="AS31" i="4" s="1"/>
  <c r="AQ131" i="4"/>
  <c r="AR35" i="4"/>
  <c r="AS35" i="4" s="1"/>
  <c r="AQ135" i="4"/>
  <c r="AT41" i="4"/>
  <c r="AU41" i="4" s="1"/>
  <c r="AS141" i="4"/>
  <c r="AR30" i="4"/>
  <c r="AS30" i="4" s="1"/>
  <c r="AQ130" i="4"/>
  <c r="AR13" i="4"/>
  <c r="AS13" i="4" s="1"/>
  <c r="AQ113" i="4"/>
  <c r="AV58" i="4"/>
  <c r="AW58" i="4" s="1"/>
  <c r="AU158" i="4"/>
  <c r="AR57" i="4"/>
  <c r="AS57" i="4" s="1"/>
  <c r="AQ157" i="4"/>
  <c r="AT39" i="4"/>
  <c r="AU39" i="4" s="1"/>
  <c r="AS139" i="4"/>
  <c r="AR51" i="4"/>
  <c r="AS51" i="4" s="1"/>
  <c r="AQ151" i="4"/>
  <c r="AR49" i="4"/>
  <c r="AS49" i="4" s="1"/>
  <c r="AQ149" i="4"/>
  <c r="AR29" i="4"/>
  <c r="AS29" i="4" s="1"/>
  <c r="AQ129" i="4"/>
  <c r="AV6" i="4"/>
  <c r="AW6" i="4" s="1"/>
  <c r="AW105" i="4" s="1"/>
  <c r="AU106" i="4"/>
  <c r="AW164" i="4"/>
  <c r="AR38" i="4"/>
  <c r="AS38" i="4" s="1"/>
  <c r="AQ138" i="4"/>
  <c r="AR47" i="4"/>
  <c r="AS47" i="4" s="1"/>
  <c r="AQ147" i="4"/>
  <c r="AR37" i="4"/>
  <c r="AS37" i="4" s="1"/>
  <c r="AQ137" i="4"/>
  <c r="AR27" i="4"/>
  <c r="AS27" i="4" s="1"/>
  <c r="AQ127" i="4"/>
  <c r="AR32" i="4"/>
  <c r="AS32" i="4" s="1"/>
  <c r="AQ132" i="4"/>
  <c r="AV54" i="4"/>
  <c r="AW54" i="4" s="1"/>
  <c r="AU154" i="4"/>
  <c r="AR53" i="4"/>
  <c r="AS53" i="4" s="1"/>
  <c r="AQ153" i="4"/>
  <c r="AR16" i="4"/>
  <c r="AS16" i="4" s="1"/>
  <c r="AQ116" i="4"/>
  <c r="AV46" i="4"/>
  <c r="AW46" i="4" s="1"/>
  <c r="AU146" i="4"/>
  <c r="AX79" i="4"/>
  <c r="AY79" i="4" s="1"/>
  <c r="AZ78" i="4" s="1"/>
  <c r="BA78" i="4" s="1"/>
  <c r="BB77" i="4" s="1"/>
  <c r="BC77" i="4" s="1"/>
  <c r="BD76" i="4" s="1"/>
  <c r="BE76" i="4" s="1"/>
  <c r="BF75" i="4" s="1"/>
  <c r="BG75" i="4" s="1"/>
  <c r="AX81" i="4"/>
  <c r="AY81" i="4" s="1"/>
  <c r="AV52" i="4"/>
  <c r="AW52" i="4" s="1"/>
  <c r="AU152" i="4"/>
  <c r="AR34" i="4"/>
  <c r="AS34" i="4" s="1"/>
  <c r="AQ134" i="4"/>
  <c r="AR12" i="4"/>
  <c r="AS12" i="4" s="1"/>
  <c r="AQ112" i="4"/>
  <c r="AV48" i="4"/>
  <c r="AW48" i="4" s="1"/>
  <c r="AU148" i="4"/>
  <c r="AR45" i="4"/>
  <c r="AS45" i="4" s="1"/>
  <c r="AQ145" i="4"/>
  <c r="AV56" i="4"/>
  <c r="AW56" i="4" s="1"/>
  <c r="AU156" i="4"/>
  <c r="AR11" i="4"/>
  <c r="AS11" i="4" s="1"/>
  <c r="AQ111" i="4"/>
  <c r="AR18" i="4"/>
  <c r="AS18" i="4" s="1"/>
  <c r="AQ118" i="4"/>
  <c r="AR15" i="4"/>
  <c r="AS15" i="4" s="1"/>
  <c r="AQ115" i="4"/>
  <c r="AR23" i="4"/>
  <c r="AS23" i="4" s="1"/>
  <c r="AQ123" i="4"/>
  <c r="AQ19" i="3"/>
  <c r="AR19" i="3" s="1"/>
  <c r="AP119" i="3"/>
  <c r="AW63" i="3"/>
  <c r="AX63" i="3" s="1"/>
  <c r="AV163" i="3"/>
  <c r="AW65" i="3"/>
  <c r="AX65" i="3" s="1"/>
  <c r="AU42" i="3"/>
  <c r="AV42" i="3" s="1"/>
  <c r="AT142" i="3"/>
  <c r="AW61" i="3"/>
  <c r="AX61" i="3" s="1"/>
  <c r="AV161" i="3"/>
  <c r="AS48" i="3"/>
  <c r="AT48" i="3" s="1"/>
  <c r="AR148" i="3"/>
  <c r="AU48" i="3"/>
  <c r="AV48" i="3" s="1"/>
  <c r="AT148" i="3"/>
  <c r="AQ26" i="3"/>
  <c r="AR26" i="3" s="1"/>
  <c r="AP126" i="3"/>
  <c r="AQ22" i="3"/>
  <c r="AR22" i="3" s="1"/>
  <c r="AP122" i="3"/>
  <c r="AW59" i="3"/>
  <c r="AX59" i="3" s="1"/>
  <c r="AV159" i="3"/>
  <c r="AQ7" i="3"/>
  <c r="AR7" i="3" s="1"/>
  <c r="AP107" i="3"/>
  <c r="AQ18" i="3"/>
  <c r="AR18" i="3" s="1"/>
  <c r="AP118" i="3"/>
  <c r="AQ16" i="3"/>
  <c r="AR16" i="3" s="1"/>
  <c r="AP116" i="3"/>
  <c r="AZ167" i="3"/>
  <c r="AQ41" i="3"/>
  <c r="AR41" i="3" s="1"/>
  <c r="AP141" i="3"/>
  <c r="AS54" i="3"/>
  <c r="AT54" i="3" s="1"/>
  <c r="AR154" i="3"/>
  <c r="AQ36" i="3"/>
  <c r="AR36" i="3" s="1"/>
  <c r="AP136" i="3"/>
  <c r="AS52" i="3"/>
  <c r="AT52" i="3" s="1"/>
  <c r="AR152" i="3"/>
  <c r="AS56" i="3"/>
  <c r="AT56" i="3" s="1"/>
  <c r="AR156" i="3"/>
  <c r="AU44" i="3"/>
  <c r="AV44" i="3" s="1"/>
  <c r="AT144" i="3"/>
  <c r="AQ6" i="3"/>
  <c r="AR6" i="3" s="1"/>
  <c r="AR105" i="3" s="1"/>
  <c r="AP106" i="3"/>
  <c r="AS50" i="3"/>
  <c r="AT50" i="3" s="1"/>
  <c r="AR150" i="3"/>
  <c r="AQ33" i="3"/>
  <c r="AR33" i="3" s="1"/>
  <c r="AP133" i="3"/>
  <c r="AW84" i="3"/>
  <c r="AX84" i="3" s="1"/>
  <c r="AY83" i="3" s="1"/>
  <c r="AZ83" i="3" s="1"/>
  <c r="AW82" i="3"/>
  <c r="AX82" i="3" s="1"/>
  <c r="AU46" i="3"/>
  <c r="AV46" i="3" s="1"/>
  <c r="AT146" i="3"/>
  <c r="AT140" i="3"/>
  <c r="AQ27" i="3"/>
  <c r="AR27" i="3" s="1"/>
  <c r="AP127" i="3"/>
  <c r="AQ31" i="3"/>
  <c r="AR31" i="3" s="1"/>
  <c r="AP131" i="3"/>
  <c r="AU50" i="3"/>
  <c r="AV50" i="3" s="1"/>
  <c r="AT150" i="3"/>
  <c r="AR139" i="3"/>
  <c r="AW57" i="3"/>
  <c r="AX57" i="3" s="1"/>
  <c r="AV157" i="3"/>
  <c r="AS46" i="3"/>
  <c r="AT46" i="3" s="1"/>
  <c r="AR146" i="3"/>
  <c r="AW80" i="3"/>
  <c r="AX80" i="3" s="1"/>
  <c r="AY79" i="3" s="1"/>
  <c r="AZ79" i="3" s="1"/>
  <c r="BA78" i="3" s="1"/>
  <c r="BB78" i="3" s="1"/>
  <c r="AQ20" i="3"/>
  <c r="AR20" i="3" s="1"/>
  <c r="AP120" i="3"/>
  <c r="AQ21" i="3"/>
  <c r="AR21" i="3" s="1"/>
  <c r="AP121" i="3"/>
  <c r="AQ17" i="3"/>
  <c r="AR17" i="3" s="1"/>
  <c r="AP117" i="3"/>
  <c r="AQ10" i="3"/>
  <c r="AR10" i="3" s="1"/>
  <c r="AP110" i="3"/>
  <c r="AQ8" i="3"/>
  <c r="AR8" i="3" s="1"/>
  <c r="AP108" i="3"/>
  <c r="AQ38" i="3"/>
  <c r="AR38" i="3" s="1"/>
  <c r="AS39" i="3" s="1"/>
  <c r="AT39" i="3" s="1"/>
  <c r="AQ39" i="3"/>
  <c r="AR39" i="3" s="1"/>
  <c r="AP139" i="3"/>
  <c r="AP112" i="3"/>
  <c r="AQ12" i="3"/>
  <c r="AR12" i="3" s="1"/>
  <c r="AR144" i="3"/>
  <c r="AQ11" i="3"/>
  <c r="AR11" i="3" s="1"/>
  <c r="AP111" i="3"/>
  <c r="AQ9" i="3"/>
  <c r="AR9" i="3" s="1"/>
  <c r="AP109" i="3"/>
  <c r="AQ23" i="3"/>
  <c r="AR23" i="3" s="1"/>
  <c r="AP123" i="3"/>
  <c r="AS58" i="3"/>
  <c r="AT58" i="3" s="1"/>
  <c r="AR158" i="3"/>
  <c r="AS62" i="3"/>
  <c r="AT62" i="3" s="1"/>
  <c r="AR162" i="3"/>
  <c r="AS64" i="3"/>
  <c r="AT64" i="3" s="1"/>
  <c r="AQ13" i="3"/>
  <c r="AR13" i="3" s="1"/>
  <c r="AP113" i="3"/>
  <c r="AQ24" i="3"/>
  <c r="AR24" i="3" s="1"/>
  <c r="AP124" i="3"/>
  <c r="AQ30" i="3"/>
  <c r="AR30" i="3" s="1"/>
  <c r="AP130" i="3"/>
  <c r="AU84" i="3"/>
  <c r="AV84" i="3" s="1"/>
  <c r="AU82" i="3"/>
  <c r="AV82" i="3" s="1"/>
  <c r="AW81" i="3" s="1"/>
  <c r="AX81" i="3" s="1"/>
  <c r="AY80" i="3" s="1"/>
  <c r="AZ80" i="3" s="1"/>
  <c r="BA79" i="3" s="1"/>
  <c r="BB79" i="3" s="1"/>
  <c r="BC78" i="3" s="1"/>
  <c r="BD78" i="3" s="1"/>
  <c r="AQ14" i="3"/>
  <c r="AR14" i="3" s="1"/>
  <c r="AP114" i="3"/>
  <c r="AW71" i="3"/>
  <c r="AX71" i="3" s="1"/>
  <c r="AY70" i="3" s="1"/>
  <c r="AZ70" i="3" s="1"/>
  <c r="BA69" i="3" s="1"/>
  <c r="BB69" i="3" s="1"/>
  <c r="AW73" i="3"/>
  <c r="AX73" i="3" s="1"/>
  <c r="AQ37" i="3"/>
  <c r="AR37" i="3" s="1"/>
  <c r="AP137" i="3"/>
  <c r="AQ35" i="3"/>
  <c r="AR35" i="3" s="1"/>
  <c r="AP135" i="3"/>
  <c r="AQ15" i="3"/>
  <c r="AR15" i="3" s="1"/>
  <c r="AP115" i="3"/>
  <c r="AQ43" i="3"/>
  <c r="AR43" i="3" s="1"/>
  <c r="AP143" i="3"/>
  <c r="AV153" i="3"/>
  <c r="AQ34" i="3"/>
  <c r="AR34" i="3" s="1"/>
  <c r="AP134" i="3"/>
  <c r="AU71" i="3"/>
  <c r="AV71" i="3" s="1"/>
  <c r="AW70" i="3" s="1"/>
  <c r="AX70" i="3" s="1"/>
  <c r="AY69" i="3" s="1"/>
  <c r="AZ69" i="3" s="1"/>
  <c r="AU73" i="3"/>
  <c r="AV73" i="3" s="1"/>
  <c r="AQ29" i="3"/>
  <c r="AR29" i="3" s="1"/>
  <c r="AP129" i="3"/>
  <c r="AU52" i="3"/>
  <c r="AV52" i="3" s="1"/>
  <c r="AQ32" i="3"/>
  <c r="AR32" i="3" s="1"/>
  <c r="AP132" i="3"/>
  <c r="AS60" i="3"/>
  <c r="AT60" i="3" s="1"/>
  <c r="AR160" i="3"/>
  <c r="AQ28" i="3"/>
  <c r="AR28" i="3" s="1"/>
  <c r="AP128" i="3"/>
  <c r="AW55" i="3"/>
  <c r="AX55" i="3" s="1"/>
  <c r="AV155" i="3"/>
  <c r="AQ25" i="3"/>
  <c r="AR25" i="3" s="1"/>
  <c r="AP125" i="3"/>
  <c r="V186" i="3" l="1"/>
  <c r="AT9" i="4"/>
  <c r="AU9" i="4" s="1"/>
  <c r="AS109" i="4"/>
  <c r="AT8" i="4"/>
  <c r="AU8" i="4" s="1"/>
  <c r="AS108" i="4"/>
  <c r="AT11" i="4"/>
  <c r="AU11" i="4" s="1"/>
  <c r="AS111" i="4"/>
  <c r="AT31" i="4"/>
  <c r="AU31" i="4" s="1"/>
  <c r="AS131" i="4"/>
  <c r="AX65" i="4"/>
  <c r="AY65" i="4" s="1"/>
  <c r="AW165" i="4"/>
  <c r="AT48" i="4"/>
  <c r="AU48" i="4" s="1"/>
  <c r="AS148" i="4"/>
  <c r="AT34" i="4"/>
  <c r="AU34" i="4" s="1"/>
  <c r="AS134" i="4"/>
  <c r="AV42" i="4"/>
  <c r="AW42" i="4" s="1"/>
  <c r="AU142" i="4"/>
  <c r="AT32" i="4"/>
  <c r="AU32" i="4" s="1"/>
  <c r="AS132" i="4"/>
  <c r="AT20" i="4"/>
  <c r="AU20" i="4" s="1"/>
  <c r="AS120" i="4"/>
  <c r="AX49" i="4"/>
  <c r="AY49" i="4" s="1"/>
  <c r="AW149" i="4"/>
  <c r="AX51" i="4"/>
  <c r="AY51" i="4" s="1"/>
  <c r="AW151" i="4"/>
  <c r="AT36" i="4"/>
  <c r="AU36" i="4" s="1"/>
  <c r="AS136" i="4"/>
  <c r="AT54" i="4"/>
  <c r="AU54" i="4" s="1"/>
  <c r="AS154" i="4"/>
  <c r="AV40" i="4"/>
  <c r="AW40" i="4" s="1"/>
  <c r="AU140" i="4"/>
  <c r="AZ80" i="4"/>
  <c r="BA80" i="4" s="1"/>
  <c r="BB79" i="4" s="1"/>
  <c r="BC79" i="4" s="1"/>
  <c r="BD78" i="4" s="1"/>
  <c r="BE78" i="4" s="1"/>
  <c r="BF77" i="4" s="1"/>
  <c r="BG77" i="4" s="1"/>
  <c r="BH76" i="4" s="1"/>
  <c r="BI76" i="4" s="1"/>
  <c r="AZ82" i="4"/>
  <c r="BA82" i="4" s="1"/>
  <c r="AT50" i="4"/>
  <c r="AU50" i="4" s="1"/>
  <c r="AS150" i="4"/>
  <c r="AT30" i="4"/>
  <c r="AU30" i="4" s="1"/>
  <c r="AS130" i="4"/>
  <c r="AT35" i="4"/>
  <c r="AU35" i="4" s="1"/>
  <c r="AS135" i="4"/>
  <c r="AX61" i="4"/>
  <c r="AY61" i="4" s="1"/>
  <c r="AW161" i="4"/>
  <c r="AT16" i="4"/>
  <c r="AU16" i="4" s="1"/>
  <c r="AS116" i="4"/>
  <c r="AT17" i="4"/>
  <c r="AU17" i="4" s="1"/>
  <c r="AS117" i="4"/>
  <c r="AT46" i="4"/>
  <c r="AU46" i="4" s="1"/>
  <c r="AS146" i="4"/>
  <c r="AT19" i="4"/>
  <c r="AU19" i="4" s="1"/>
  <c r="AS119" i="4"/>
  <c r="AT40" i="4"/>
  <c r="AU40" i="4" s="1"/>
  <c r="AS140" i="4"/>
  <c r="AT29" i="4"/>
  <c r="AU29" i="4" s="1"/>
  <c r="AS129" i="4"/>
  <c r="AX67" i="4"/>
  <c r="AY67" i="4" s="1"/>
  <c r="AX69" i="4"/>
  <c r="AY69" i="4" s="1"/>
  <c r="AT14" i="4"/>
  <c r="AU14" i="4" s="1"/>
  <c r="AS114" i="4"/>
  <c r="AV38" i="4"/>
  <c r="AW38" i="4" s="1"/>
  <c r="AU138" i="4"/>
  <c r="AT23" i="4"/>
  <c r="AU23" i="4" s="1"/>
  <c r="AS123" i="4"/>
  <c r="AT27" i="4"/>
  <c r="AU27" i="4" s="1"/>
  <c r="AS127" i="4"/>
  <c r="AT26" i="4"/>
  <c r="AU26" i="4" s="1"/>
  <c r="AS126" i="4"/>
  <c r="AW145" i="4"/>
  <c r="AT24" i="4"/>
  <c r="AU24" i="4" s="1"/>
  <c r="AS124" i="4"/>
  <c r="AT38" i="4"/>
  <c r="AU38" i="4" s="1"/>
  <c r="AS138" i="4"/>
  <c r="AT56" i="4"/>
  <c r="AU56" i="4" s="1"/>
  <c r="AS156" i="4"/>
  <c r="AT21" i="4"/>
  <c r="AU21" i="4" s="1"/>
  <c r="AS121" i="4"/>
  <c r="AT13" i="4"/>
  <c r="AU13" i="4" s="1"/>
  <c r="AS113" i="4"/>
  <c r="AT22" i="4"/>
  <c r="AU22" i="4" s="1"/>
  <c r="AS122" i="4"/>
  <c r="AX55" i="4"/>
  <c r="AY55" i="4" s="1"/>
  <c r="AW155" i="4"/>
  <c r="AT15" i="4"/>
  <c r="AU15" i="4" s="1"/>
  <c r="AS115" i="4"/>
  <c r="AT37" i="4"/>
  <c r="AU37" i="4" s="1"/>
  <c r="AS137" i="4"/>
  <c r="AT18" i="4"/>
  <c r="AU18" i="4" s="1"/>
  <c r="AS118" i="4"/>
  <c r="AZ79" i="4"/>
  <c r="BA79" i="4" s="1"/>
  <c r="BB78" i="4" s="1"/>
  <c r="BC78" i="4" s="1"/>
  <c r="BD77" i="4" s="1"/>
  <c r="BE77" i="4" s="1"/>
  <c r="BF76" i="4" s="1"/>
  <c r="BG76" i="4" s="1"/>
  <c r="BH75" i="4" s="1"/>
  <c r="BI75" i="4" s="1"/>
  <c r="AZ81" i="4"/>
  <c r="BA81" i="4" s="1"/>
  <c r="AX63" i="4"/>
  <c r="AY63" i="4" s="1"/>
  <c r="AW163" i="4"/>
  <c r="AT33" i="4"/>
  <c r="AU33" i="4" s="1"/>
  <c r="AS133" i="4"/>
  <c r="AX57" i="4"/>
  <c r="AY57" i="4" s="1"/>
  <c r="AW157" i="4"/>
  <c r="AX59" i="4"/>
  <c r="AY59" i="4" s="1"/>
  <c r="AW159" i="4"/>
  <c r="AZ67" i="4"/>
  <c r="BA67" i="4" s="1"/>
  <c r="AZ69" i="4"/>
  <c r="BA69" i="4" s="1"/>
  <c r="AT25" i="4"/>
  <c r="AU25" i="4" s="1"/>
  <c r="AS125" i="4"/>
  <c r="AT28" i="4"/>
  <c r="AU28" i="4" s="1"/>
  <c r="AS128" i="4"/>
  <c r="AT10" i="4"/>
  <c r="AU10" i="4" s="1"/>
  <c r="AS110" i="4"/>
  <c r="AT52" i="4"/>
  <c r="AU52" i="4" s="1"/>
  <c r="AS152" i="4"/>
  <c r="AY165" i="4"/>
  <c r="AT12" i="4"/>
  <c r="AU12" i="4" s="1"/>
  <c r="AS112" i="4"/>
  <c r="AT42" i="4"/>
  <c r="AU42" i="4" s="1"/>
  <c r="AS142" i="4"/>
  <c r="AT44" i="4"/>
  <c r="AU44" i="4" s="1"/>
  <c r="AS144" i="4"/>
  <c r="AT60" i="4"/>
  <c r="AU60" i="4" s="1"/>
  <c r="AS160" i="4"/>
  <c r="AT62" i="4"/>
  <c r="AU62" i="4" s="1"/>
  <c r="AX47" i="4"/>
  <c r="AY47" i="4" s="1"/>
  <c r="AW147" i="4"/>
  <c r="AX53" i="4"/>
  <c r="AY53" i="4" s="1"/>
  <c r="AW153" i="4"/>
  <c r="AT58" i="4"/>
  <c r="AU58" i="4" s="1"/>
  <c r="AS158" i="4"/>
  <c r="AV44" i="4"/>
  <c r="AW44" i="4" s="1"/>
  <c r="AX45" i="4" s="1"/>
  <c r="AY45" i="4" s="1"/>
  <c r="AT138" i="3"/>
  <c r="AU40" i="3"/>
  <c r="AV40" i="3" s="1"/>
  <c r="AU53" i="3"/>
  <c r="AV53" i="3" s="1"/>
  <c r="AT153" i="3"/>
  <c r="AU49" i="3"/>
  <c r="AV49" i="3" s="1"/>
  <c r="AT149" i="3"/>
  <c r="AS40" i="3"/>
  <c r="AT40" i="3" s="1"/>
  <c r="AR140" i="3"/>
  <c r="AW47" i="3"/>
  <c r="AX47" i="3" s="1"/>
  <c r="AV147" i="3"/>
  <c r="AY56" i="3"/>
  <c r="AZ56" i="3" s="1"/>
  <c r="AX156" i="3"/>
  <c r="BB168" i="3"/>
  <c r="AU57" i="3"/>
  <c r="AV57" i="3" s="1"/>
  <c r="AT157" i="3"/>
  <c r="AW49" i="3"/>
  <c r="AX49" i="3" s="1"/>
  <c r="AV149" i="3"/>
  <c r="AU47" i="3"/>
  <c r="AV47" i="3" s="1"/>
  <c r="AT147" i="3"/>
  <c r="BA84" i="3"/>
  <c r="BB84" i="3" s="1"/>
  <c r="BA82" i="3"/>
  <c r="BB82" i="3" s="1"/>
  <c r="BC81" i="3" s="1"/>
  <c r="BD81" i="3" s="1"/>
  <c r="BE80" i="3" s="1"/>
  <c r="BF80" i="3" s="1"/>
  <c r="AS25" i="3"/>
  <c r="AT25" i="3" s="1"/>
  <c r="AR125" i="3"/>
  <c r="AU61" i="3"/>
  <c r="AV61" i="3" s="1"/>
  <c r="AT161" i="3"/>
  <c r="AT145" i="3"/>
  <c r="AS31" i="3"/>
  <c r="AT31" i="3" s="1"/>
  <c r="AR131" i="3"/>
  <c r="AS38" i="3"/>
  <c r="AT38" i="3" s="1"/>
  <c r="AR138" i="3"/>
  <c r="AW51" i="3"/>
  <c r="AX51" i="3" s="1"/>
  <c r="AV151" i="3"/>
  <c r="AS36" i="3"/>
  <c r="AT36" i="3" s="1"/>
  <c r="AR136" i="3"/>
  <c r="AW72" i="3"/>
  <c r="AX72" i="3" s="1"/>
  <c r="AY71" i="3" s="1"/>
  <c r="AZ71" i="3" s="1"/>
  <c r="BA70" i="3" s="1"/>
  <c r="BB70" i="3" s="1"/>
  <c r="AW74" i="3"/>
  <c r="AX74" i="3" s="1"/>
  <c r="AS22" i="3"/>
  <c r="AT22" i="3" s="1"/>
  <c r="AR122" i="3"/>
  <c r="AS30" i="3"/>
  <c r="AT30" i="3" s="1"/>
  <c r="AR130" i="3"/>
  <c r="AS15" i="3"/>
  <c r="AT15" i="3" s="1"/>
  <c r="AR115" i="3"/>
  <c r="AY60" i="3"/>
  <c r="AZ60" i="3" s="1"/>
  <c r="AX160" i="3"/>
  <c r="AS8" i="3"/>
  <c r="AT8" i="3" s="1"/>
  <c r="AR108" i="3"/>
  <c r="AS26" i="3"/>
  <c r="AT26" i="3" s="1"/>
  <c r="AR126" i="3"/>
  <c r="AS17" i="3"/>
  <c r="AT17" i="3" s="1"/>
  <c r="AR117" i="3"/>
  <c r="AW41" i="3"/>
  <c r="AX41" i="3" s="1"/>
  <c r="AV141" i="3"/>
  <c r="AS12" i="3"/>
  <c r="AT12" i="3" s="1"/>
  <c r="AR112" i="3"/>
  <c r="AS7" i="3"/>
  <c r="AT7" i="3" s="1"/>
  <c r="AR107" i="3"/>
  <c r="AS9" i="3"/>
  <c r="AT9" i="3" s="1"/>
  <c r="AR109" i="3"/>
  <c r="AW83" i="3"/>
  <c r="AX83" i="3" s="1"/>
  <c r="AS20" i="3"/>
  <c r="AT20" i="3" s="1"/>
  <c r="AR120" i="3"/>
  <c r="AU55" i="3"/>
  <c r="AV55" i="3" s="1"/>
  <c r="AT155" i="3"/>
  <c r="AY64" i="3"/>
  <c r="AZ64" i="3" s="1"/>
  <c r="AX164" i="3"/>
  <c r="AY66" i="3"/>
  <c r="AZ66" i="3" s="1"/>
  <c r="AS21" i="3"/>
  <c r="AT21" i="3" s="1"/>
  <c r="AR121" i="3"/>
  <c r="AS32" i="3"/>
  <c r="AT32" i="3" s="1"/>
  <c r="AR132" i="3"/>
  <c r="AS33" i="3"/>
  <c r="AT33" i="3" s="1"/>
  <c r="AR133" i="3"/>
  <c r="AS16" i="3"/>
  <c r="AT16" i="3" s="1"/>
  <c r="AR116" i="3"/>
  <c r="AS10" i="3"/>
  <c r="AT10" i="3" s="1"/>
  <c r="AR110" i="3"/>
  <c r="AS6" i="3"/>
  <c r="AT6" i="3" s="1"/>
  <c r="AT105" i="3" s="1"/>
  <c r="AR106" i="3"/>
  <c r="AU59" i="3"/>
  <c r="AV59" i="3" s="1"/>
  <c r="AT159" i="3"/>
  <c r="AU63" i="3"/>
  <c r="AV63" i="3" s="1"/>
  <c r="AT163" i="3"/>
  <c r="AU65" i="3"/>
  <c r="AV65" i="3" s="1"/>
  <c r="AS37" i="3"/>
  <c r="AT37" i="3" s="1"/>
  <c r="AR137" i="3"/>
  <c r="AS28" i="3"/>
  <c r="AT28" i="3" s="1"/>
  <c r="AR128" i="3"/>
  <c r="AS29" i="3"/>
  <c r="AT29" i="3" s="1"/>
  <c r="AR129" i="3"/>
  <c r="AS19" i="3"/>
  <c r="AT19" i="3" s="1"/>
  <c r="AR119" i="3"/>
  <c r="AU51" i="3"/>
  <c r="AV51" i="3" s="1"/>
  <c r="AT151" i="3"/>
  <c r="AY62" i="3"/>
  <c r="AZ62" i="3" s="1"/>
  <c r="AX162" i="3"/>
  <c r="AS13" i="3"/>
  <c r="AT13" i="3" s="1"/>
  <c r="AR113" i="3"/>
  <c r="AW43" i="3"/>
  <c r="AX43" i="3" s="1"/>
  <c r="AV143" i="3"/>
  <c r="AS24" i="3"/>
  <c r="AT24" i="3" s="1"/>
  <c r="AR124" i="3"/>
  <c r="AW53" i="3"/>
  <c r="AX53" i="3" s="1"/>
  <c r="AS27" i="3"/>
  <c r="AT27" i="3" s="1"/>
  <c r="AR127" i="3"/>
  <c r="AS42" i="3"/>
  <c r="AT42" i="3" s="1"/>
  <c r="AR142" i="3"/>
  <c r="AS44" i="3"/>
  <c r="AT44" i="3" s="1"/>
  <c r="AU45" i="3" s="1"/>
  <c r="AV45" i="3" s="1"/>
  <c r="AW45" i="3"/>
  <c r="AX45" i="3" s="1"/>
  <c r="AV145" i="3"/>
  <c r="AY58" i="3"/>
  <c r="AZ58" i="3" s="1"/>
  <c r="AX158" i="3"/>
  <c r="AS14" i="3"/>
  <c r="AT14" i="3" s="1"/>
  <c r="AR114" i="3"/>
  <c r="AS34" i="3"/>
  <c r="AT34" i="3" s="1"/>
  <c r="AR134" i="3"/>
  <c r="AY72" i="3"/>
  <c r="AZ72" i="3" s="1"/>
  <c r="BA71" i="3" s="1"/>
  <c r="BB71" i="3" s="1"/>
  <c r="BC70" i="3" s="1"/>
  <c r="BD70" i="3" s="1"/>
  <c r="AY74" i="3"/>
  <c r="AZ74" i="3" s="1"/>
  <c r="AY54" i="3"/>
  <c r="AZ54" i="3" s="1"/>
  <c r="AX154" i="3"/>
  <c r="AS23" i="3"/>
  <c r="AT23" i="3" s="1"/>
  <c r="AR123" i="3"/>
  <c r="AS11" i="3"/>
  <c r="AT11" i="3" s="1"/>
  <c r="AR111" i="3"/>
  <c r="AY81" i="3"/>
  <c r="AZ81" i="3" s="1"/>
  <c r="BA80" i="3" s="1"/>
  <c r="BB80" i="3" s="1"/>
  <c r="BC79" i="3" s="1"/>
  <c r="BD79" i="3" s="1"/>
  <c r="AS35" i="3"/>
  <c r="AT35" i="3" s="1"/>
  <c r="AR135" i="3"/>
  <c r="AS18" i="3"/>
  <c r="AT18" i="3" s="1"/>
  <c r="AR118" i="3"/>
  <c r="AV7" i="4" l="1"/>
  <c r="AW7" i="4" s="1"/>
  <c r="AU107" i="4"/>
  <c r="AU108" i="4"/>
  <c r="AV8" i="4"/>
  <c r="AW8" i="4" s="1"/>
  <c r="W186" i="3"/>
  <c r="AV41" i="4"/>
  <c r="AW41" i="4" s="1"/>
  <c r="AU141" i="4"/>
  <c r="AV49" i="4"/>
  <c r="AW49" i="4" s="1"/>
  <c r="AU149" i="4"/>
  <c r="AV31" i="4"/>
  <c r="AW31" i="4" s="1"/>
  <c r="AU131" i="4"/>
  <c r="AX43" i="4"/>
  <c r="AY43" i="4" s="1"/>
  <c r="AW143" i="4"/>
  <c r="AZ58" i="4"/>
  <c r="BA58" i="4" s="1"/>
  <c r="AY158" i="4"/>
  <c r="AZ54" i="4"/>
  <c r="BA54" i="4" s="1"/>
  <c r="AY154" i="4"/>
  <c r="AV25" i="4"/>
  <c r="AW25" i="4" s="1"/>
  <c r="AU125" i="4"/>
  <c r="AV18" i="4"/>
  <c r="AW18" i="4" s="1"/>
  <c r="AU118" i="4"/>
  <c r="BB81" i="4"/>
  <c r="BC81" i="4" s="1"/>
  <c r="BD80" i="4" s="1"/>
  <c r="BE80" i="4" s="1"/>
  <c r="BF79" i="4" s="1"/>
  <c r="BG79" i="4" s="1"/>
  <c r="BH78" i="4" s="1"/>
  <c r="BI78" i="4" s="1"/>
  <c r="BB83" i="4"/>
  <c r="BC83" i="4" s="1"/>
  <c r="AX41" i="4"/>
  <c r="AY41" i="4" s="1"/>
  <c r="AW141" i="4"/>
  <c r="AV57" i="4"/>
  <c r="AW57" i="4" s="1"/>
  <c r="AU157" i="4"/>
  <c r="AZ56" i="4"/>
  <c r="BA56" i="4" s="1"/>
  <c r="AY156" i="4"/>
  <c r="AV21" i="4"/>
  <c r="AW21" i="4" s="1"/>
  <c r="AU121" i="4"/>
  <c r="AV26" i="4"/>
  <c r="AW26" i="4" s="1"/>
  <c r="AU126" i="4"/>
  <c r="AV45" i="4"/>
  <c r="AW45" i="4" s="1"/>
  <c r="AU145" i="4"/>
  <c r="AX39" i="4"/>
  <c r="AY39" i="4" s="1"/>
  <c r="AW139" i="4"/>
  <c r="AV33" i="4"/>
  <c r="AW33" i="4" s="1"/>
  <c r="AU133" i="4"/>
  <c r="AV39" i="4"/>
  <c r="AW39" i="4" s="1"/>
  <c r="AU139" i="4"/>
  <c r="AV11" i="4"/>
  <c r="AW11" i="4" s="1"/>
  <c r="AU111" i="4"/>
  <c r="AV32" i="4"/>
  <c r="AW32" i="4" s="1"/>
  <c r="AU132" i="4"/>
  <c r="AV12" i="4"/>
  <c r="AW12" i="4" s="1"/>
  <c r="AU112" i="4"/>
  <c r="AV22" i="4"/>
  <c r="AW22" i="4" s="1"/>
  <c r="AU122" i="4"/>
  <c r="AV51" i="4"/>
  <c r="AW51" i="4" s="1"/>
  <c r="AU151" i="4"/>
  <c r="AV16" i="4"/>
  <c r="AW16" i="4" s="1"/>
  <c r="AU116" i="4"/>
  <c r="AV53" i="4"/>
  <c r="AW53" i="4" s="1"/>
  <c r="AU153" i="4"/>
  <c r="AV47" i="4"/>
  <c r="AW47" i="4" s="1"/>
  <c r="AU147" i="4"/>
  <c r="AZ62" i="4"/>
  <c r="BA62" i="4" s="1"/>
  <c r="AY162" i="4"/>
  <c r="AV20" i="4"/>
  <c r="AW20" i="4" s="1"/>
  <c r="AU120" i="4"/>
  <c r="AW137" i="4"/>
  <c r="AZ44" i="4"/>
  <c r="BA44" i="4" s="1"/>
  <c r="AY144" i="4"/>
  <c r="AV61" i="4"/>
  <c r="AW61" i="4" s="1"/>
  <c r="AU161" i="4"/>
  <c r="AV63" i="4"/>
  <c r="AW63" i="4" s="1"/>
  <c r="AV9" i="4"/>
  <c r="AW9" i="4" s="1"/>
  <c r="AU109" i="4"/>
  <c r="BB80" i="4"/>
  <c r="BC80" i="4" s="1"/>
  <c r="BD79" i="4" s="1"/>
  <c r="BE79" i="4" s="1"/>
  <c r="BF78" i="4" s="1"/>
  <c r="BG78" i="4" s="1"/>
  <c r="BH77" i="4" s="1"/>
  <c r="BI77" i="4" s="1"/>
  <c r="BB82" i="4"/>
  <c r="BC82" i="4" s="1"/>
  <c r="AV15" i="4"/>
  <c r="AW15" i="4" s="1"/>
  <c r="AU115" i="4"/>
  <c r="AV35" i="4"/>
  <c r="AW35" i="4" s="1"/>
  <c r="AU135" i="4"/>
  <c r="AZ64" i="4"/>
  <c r="BA64" i="4" s="1"/>
  <c r="AY164" i="4"/>
  <c r="AV14" i="4"/>
  <c r="AW14" i="4" s="1"/>
  <c r="AU114" i="4"/>
  <c r="AV55" i="4"/>
  <c r="AW55" i="4" s="1"/>
  <c r="AU155" i="4"/>
  <c r="AV13" i="4"/>
  <c r="AW13" i="4" s="1"/>
  <c r="AU113" i="4"/>
  <c r="AZ52" i="4"/>
  <c r="BA52" i="4" s="1"/>
  <c r="AY152" i="4"/>
  <c r="AZ46" i="4"/>
  <c r="BA46" i="4" s="1"/>
  <c r="AY146" i="4"/>
  <c r="AV59" i="4"/>
  <c r="AW59" i="4" s="1"/>
  <c r="AU159" i="4"/>
  <c r="AV27" i="4"/>
  <c r="AW27" i="4" s="1"/>
  <c r="AU127" i="4"/>
  <c r="AZ68" i="4"/>
  <c r="BA68" i="4" s="1"/>
  <c r="AZ70" i="4"/>
  <c r="BA70" i="4" s="1"/>
  <c r="AZ60" i="4"/>
  <c r="BA60" i="4" s="1"/>
  <c r="AY160" i="4"/>
  <c r="AZ50" i="4"/>
  <c r="BA50" i="4" s="1"/>
  <c r="AY150" i="4"/>
  <c r="BA166" i="4"/>
  <c r="AV17" i="4"/>
  <c r="AW17" i="4" s="1"/>
  <c r="AU117" i="4"/>
  <c r="AV37" i="4"/>
  <c r="AW37" i="4" s="1"/>
  <c r="AU137" i="4"/>
  <c r="AZ66" i="4"/>
  <c r="BA66" i="4" s="1"/>
  <c r="AY166" i="4"/>
  <c r="AV43" i="4"/>
  <c r="AW43" i="4" s="1"/>
  <c r="AU143" i="4"/>
  <c r="AV34" i="4"/>
  <c r="AW34" i="4" s="1"/>
  <c r="AU134" i="4"/>
  <c r="AZ48" i="4"/>
  <c r="BA48" i="4" s="1"/>
  <c r="AY148" i="4"/>
  <c r="AV36" i="4"/>
  <c r="AW36" i="4" s="1"/>
  <c r="AX37" i="4" s="1"/>
  <c r="AY37" i="4" s="1"/>
  <c r="AU136" i="4"/>
  <c r="AV23" i="4"/>
  <c r="AW23" i="4" s="1"/>
  <c r="AU123" i="4"/>
  <c r="AV28" i="4"/>
  <c r="AW28" i="4" s="1"/>
  <c r="AU128" i="4"/>
  <c r="AV24" i="4"/>
  <c r="AW24" i="4" s="1"/>
  <c r="AU124" i="4"/>
  <c r="AV30" i="4"/>
  <c r="AW30" i="4" s="1"/>
  <c r="AU130" i="4"/>
  <c r="BB68" i="4"/>
  <c r="BC68" i="4" s="1"/>
  <c r="BB70" i="4"/>
  <c r="BC70" i="4" s="1"/>
  <c r="AV29" i="4"/>
  <c r="AW29" i="4" s="1"/>
  <c r="AU129" i="4"/>
  <c r="AV19" i="4"/>
  <c r="AW19" i="4" s="1"/>
  <c r="AU119" i="4"/>
  <c r="AV10" i="4"/>
  <c r="AW10" i="4" s="1"/>
  <c r="AU110" i="4"/>
  <c r="AU15" i="3"/>
  <c r="AV15" i="3" s="1"/>
  <c r="AT115" i="3"/>
  <c r="AU8" i="3"/>
  <c r="AV8" i="3" s="1"/>
  <c r="AT108" i="3"/>
  <c r="BA59" i="3"/>
  <c r="BB59" i="3" s="1"/>
  <c r="AZ159" i="3"/>
  <c r="AU30" i="3"/>
  <c r="AV30" i="3" s="1"/>
  <c r="AT130" i="3"/>
  <c r="BA55" i="3"/>
  <c r="BB55" i="3" s="1"/>
  <c r="AZ155" i="3"/>
  <c r="AU32" i="3"/>
  <c r="AV32" i="3" s="1"/>
  <c r="AT132" i="3"/>
  <c r="AU11" i="3"/>
  <c r="AV11" i="3" s="1"/>
  <c r="AT111" i="3"/>
  <c r="AU29" i="3"/>
  <c r="AV29" i="3" s="1"/>
  <c r="AT129" i="3"/>
  <c r="AU36" i="3"/>
  <c r="AV36" i="3" s="1"/>
  <c r="AT136" i="3"/>
  <c r="AW60" i="3"/>
  <c r="AX60" i="3" s="1"/>
  <c r="AV160" i="3"/>
  <c r="AY46" i="3"/>
  <c r="AZ46" i="3" s="1"/>
  <c r="AX146" i="3"/>
  <c r="AU26" i="3"/>
  <c r="AV26" i="3" s="1"/>
  <c r="AT126" i="3"/>
  <c r="BA73" i="3"/>
  <c r="BB73" i="3" s="1"/>
  <c r="BC72" i="3" s="1"/>
  <c r="BD72" i="3" s="1"/>
  <c r="BE71" i="3" s="1"/>
  <c r="BF71" i="3" s="1"/>
  <c r="BA75" i="3"/>
  <c r="BB75" i="3" s="1"/>
  <c r="AU33" i="3"/>
  <c r="AV33" i="3" s="1"/>
  <c r="AT133" i="3"/>
  <c r="AW64" i="3"/>
  <c r="AX64" i="3" s="1"/>
  <c r="AV164" i="3"/>
  <c r="AW66" i="3"/>
  <c r="AX66" i="3" s="1"/>
  <c r="AU20" i="3"/>
  <c r="AV20" i="3" s="1"/>
  <c r="AT120" i="3"/>
  <c r="AX140" i="3"/>
  <c r="AU21" i="3"/>
  <c r="AV21" i="3" s="1"/>
  <c r="AT121" i="3"/>
  <c r="AW56" i="3"/>
  <c r="AX56" i="3" s="1"/>
  <c r="AV156" i="3"/>
  <c r="BD169" i="3"/>
  <c r="AY42" i="3"/>
  <c r="AZ42" i="3" s="1"/>
  <c r="AX142" i="3"/>
  <c r="BA65" i="3"/>
  <c r="BB65" i="3" s="1"/>
  <c r="AZ165" i="3"/>
  <c r="BA67" i="3"/>
  <c r="BB67" i="3" s="1"/>
  <c r="AY73" i="3"/>
  <c r="AZ73" i="3" s="1"/>
  <c r="BA72" i="3" s="1"/>
  <c r="BB72" i="3" s="1"/>
  <c r="BC71" i="3" s="1"/>
  <c r="BD71" i="3" s="1"/>
  <c r="AY75" i="3"/>
  <c r="AZ75" i="3" s="1"/>
  <c r="AU24" i="3"/>
  <c r="AV24" i="3" s="1"/>
  <c r="AT124" i="3"/>
  <c r="AU39" i="3"/>
  <c r="AV39" i="3" s="1"/>
  <c r="AT139" i="3"/>
  <c r="AZ153" i="3"/>
  <c r="AU6" i="3"/>
  <c r="AV6" i="3" s="1"/>
  <c r="AV105" i="3" s="1"/>
  <c r="AT106" i="3"/>
  <c r="AU12" i="3"/>
  <c r="AV12" i="3" s="1"/>
  <c r="AT112" i="3"/>
  <c r="BA63" i="3"/>
  <c r="BB63" i="3" s="1"/>
  <c r="AZ163" i="3"/>
  <c r="BC83" i="3"/>
  <c r="BD83" i="3" s="1"/>
  <c r="AW48" i="3"/>
  <c r="AX48" i="3" s="1"/>
  <c r="AV148" i="3"/>
  <c r="AV144" i="3"/>
  <c r="AW58" i="3"/>
  <c r="AX58" i="3" s="1"/>
  <c r="AV158" i="3"/>
  <c r="AU25" i="3"/>
  <c r="AV25" i="3" s="1"/>
  <c r="AT125" i="3"/>
  <c r="AU35" i="3"/>
  <c r="AV35" i="3" s="1"/>
  <c r="AT135" i="3"/>
  <c r="AU18" i="3"/>
  <c r="AV18" i="3" s="1"/>
  <c r="AT118" i="3"/>
  <c r="AU28" i="3"/>
  <c r="AV28" i="3" s="1"/>
  <c r="AT128" i="3"/>
  <c r="AU27" i="3"/>
  <c r="AV27" i="3" s="1"/>
  <c r="AT127" i="3"/>
  <c r="AU34" i="3"/>
  <c r="AV34" i="3" s="1"/>
  <c r="AT134" i="3"/>
  <c r="AW54" i="3"/>
  <c r="AX54" i="3" s="1"/>
  <c r="AV154" i="3"/>
  <c r="AW46" i="3"/>
  <c r="AX46" i="3" s="1"/>
  <c r="AV146" i="3"/>
  <c r="AW52" i="3"/>
  <c r="AX52" i="3" s="1"/>
  <c r="AV152" i="3"/>
  <c r="AU22" i="3"/>
  <c r="AV22" i="3" s="1"/>
  <c r="AT122" i="3"/>
  <c r="AU7" i="3"/>
  <c r="AV7" i="3" s="1"/>
  <c r="AT107" i="3"/>
  <c r="AY50" i="3"/>
  <c r="AZ50" i="3" s="1"/>
  <c r="AX150" i="3"/>
  <c r="AW39" i="3"/>
  <c r="AX39" i="3" s="1"/>
  <c r="AV139" i="3"/>
  <c r="AY52" i="3"/>
  <c r="AZ52" i="3" s="1"/>
  <c r="BA53" i="3" s="1"/>
  <c r="BB53" i="3" s="1"/>
  <c r="AX152" i="3"/>
  <c r="AU23" i="3"/>
  <c r="AV23" i="3" s="1"/>
  <c r="AT123" i="3"/>
  <c r="AU13" i="3"/>
  <c r="AV13" i="3" s="1"/>
  <c r="AT113" i="3"/>
  <c r="AW62" i="3"/>
  <c r="AX62" i="3" s="1"/>
  <c r="AV162" i="3"/>
  <c r="AU16" i="3"/>
  <c r="AV16" i="3" s="1"/>
  <c r="AT116" i="3"/>
  <c r="BA57" i="3"/>
  <c r="BB57" i="3" s="1"/>
  <c r="AZ157" i="3"/>
  <c r="BA61" i="3"/>
  <c r="BB61" i="3" s="1"/>
  <c r="AZ161" i="3"/>
  <c r="AW50" i="3"/>
  <c r="AX50" i="3" s="1"/>
  <c r="AV150" i="3"/>
  <c r="AU19" i="3"/>
  <c r="AV19" i="3" s="1"/>
  <c r="AT119" i="3"/>
  <c r="AY48" i="3"/>
  <c r="AZ48" i="3" s="1"/>
  <c r="AX148" i="3"/>
  <c r="AU41" i="3"/>
  <c r="AV41" i="3" s="1"/>
  <c r="AT141" i="3"/>
  <c r="AU14" i="3"/>
  <c r="AV14" i="3" s="1"/>
  <c r="AT114" i="3"/>
  <c r="AU31" i="3"/>
  <c r="AV31" i="3" s="1"/>
  <c r="AT131" i="3"/>
  <c r="AU17" i="3"/>
  <c r="AV17" i="3" s="1"/>
  <c r="AT117" i="3"/>
  <c r="AY44" i="3"/>
  <c r="AZ44" i="3" s="1"/>
  <c r="AX144" i="3"/>
  <c r="AU10" i="3"/>
  <c r="AV10" i="3" s="1"/>
  <c r="AT110" i="3"/>
  <c r="AU43" i="3"/>
  <c r="AV43" i="3" s="1"/>
  <c r="AT143" i="3"/>
  <c r="AU9" i="3"/>
  <c r="AV9" i="3" s="1"/>
  <c r="AT109" i="3"/>
  <c r="AY84" i="3"/>
  <c r="AZ84" i="3" s="1"/>
  <c r="AY82" i="3"/>
  <c r="AZ82" i="3" s="1"/>
  <c r="BA81" i="3" s="1"/>
  <c r="BB81" i="3" s="1"/>
  <c r="BC80" i="3" s="1"/>
  <c r="BD80" i="3" s="1"/>
  <c r="BE79" i="3" s="1"/>
  <c r="BF79" i="3" s="1"/>
  <c r="AU37" i="3"/>
  <c r="AV37" i="3" s="1"/>
  <c r="AT137" i="3"/>
  <c r="AU38" i="3"/>
  <c r="AV38" i="3" s="1"/>
  <c r="X186" i="3" l="1"/>
  <c r="AX7" i="4"/>
  <c r="AY7" i="4" s="1"/>
  <c r="AW107" i="4"/>
  <c r="AX6" i="4"/>
  <c r="AY6" i="4" s="1"/>
  <c r="AY105" i="4" s="1"/>
  <c r="AW106" i="4"/>
  <c r="AY136" i="4"/>
  <c r="BB51" i="4"/>
  <c r="BC51" i="4" s="1"/>
  <c r="BA151" i="4"/>
  <c r="AX8" i="4"/>
  <c r="AY8" i="4" s="1"/>
  <c r="AW108" i="4"/>
  <c r="AX22" i="4"/>
  <c r="AY22" i="4" s="1"/>
  <c r="AW122" i="4"/>
  <c r="AX62" i="4"/>
  <c r="AY62" i="4" s="1"/>
  <c r="AW162" i="4"/>
  <c r="AX64" i="4"/>
  <c r="AY64" i="4" s="1"/>
  <c r="AX15" i="4"/>
  <c r="AY15" i="4" s="1"/>
  <c r="AW115" i="4"/>
  <c r="AZ38" i="4"/>
  <c r="BA38" i="4" s="1"/>
  <c r="AY138" i="4"/>
  <c r="AX17" i="4"/>
  <c r="AY17" i="4" s="1"/>
  <c r="AW117" i="4"/>
  <c r="AX60" i="4"/>
  <c r="AY60" i="4" s="1"/>
  <c r="AW160" i="4"/>
  <c r="AX50" i="4"/>
  <c r="AY50" i="4" s="1"/>
  <c r="AW150" i="4"/>
  <c r="AX44" i="4"/>
  <c r="AY44" i="4" s="1"/>
  <c r="AW144" i="4"/>
  <c r="AX24" i="4"/>
  <c r="AY24" i="4" s="1"/>
  <c r="AW124" i="4"/>
  <c r="AX18" i="4"/>
  <c r="AY18" i="4" s="1"/>
  <c r="AW118" i="4"/>
  <c r="BB47" i="4"/>
  <c r="BC47" i="4" s="1"/>
  <c r="BA147" i="4"/>
  <c r="BB49" i="4"/>
  <c r="BC49" i="4" s="1"/>
  <c r="BA149" i="4"/>
  <c r="AX54" i="4"/>
  <c r="AY54" i="4" s="1"/>
  <c r="AW154" i="4"/>
  <c r="AX28" i="4"/>
  <c r="AY28" i="4" s="1"/>
  <c r="AW128" i="4"/>
  <c r="BB59" i="4"/>
  <c r="BC59" i="4" s="1"/>
  <c r="BA159" i="4"/>
  <c r="AX13" i="4"/>
  <c r="AY13" i="4" s="1"/>
  <c r="AW113" i="4"/>
  <c r="BB43" i="4"/>
  <c r="BC43" i="4" s="1"/>
  <c r="BA143" i="4"/>
  <c r="AX33" i="4"/>
  <c r="AY33" i="4" s="1"/>
  <c r="AW133" i="4"/>
  <c r="BD69" i="4"/>
  <c r="BE69" i="4" s="1"/>
  <c r="BD71" i="4"/>
  <c r="BE71" i="4" s="1"/>
  <c r="BB69" i="4"/>
  <c r="BC69" i="4" s="1"/>
  <c r="BB71" i="4"/>
  <c r="BC71" i="4" s="1"/>
  <c r="AX11" i="4"/>
  <c r="AY11" i="4" s="1"/>
  <c r="AW111" i="4"/>
  <c r="AX20" i="4"/>
  <c r="AY20" i="4" s="1"/>
  <c r="AW120" i="4"/>
  <c r="BB57" i="4"/>
  <c r="BC57" i="4" s="1"/>
  <c r="BA157" i="4"/>
  <c r="AX35" i="4"/>
  <c r="AY35" i="4" s="1"/>
  <c r="AW135" i="4"/>
  <c r="BC167" i="4"/>
  <c r="AX42" i="4"/>
  <c r="AY42" i="4" s="1"/>
  <c r="AW142" i="4"/>
  <c r="BB67" i="4"/>
  <c r="BC67" i="4" s="1"/>
  <c r="BA167" i="4"/>
  <c r="BB63" i="4"/>
  <c r="BC63" i="4" s="1"/>
  <c r="BA163" i="4"/>
  <c r="AX19" i="4"/>
  <c r="AY19" i="4" s="1"/>
  <c r="AW119" i="4"/>
  <c r="AX31" i="4"/>
  <c r="AY31" i="4" s="1"/>
  <c r="AW131" i="4"/>
  <c r="BB55" i="4"/>
  <c r="BC55" i="4" s="1"/>
  <c r="BA155" i="4"/>
  <c r="AZ42" i="4"/>
  <c r="BA42" i="4" s="1"/>
  <c r="AY142" i="4"/>
  <c r="AX21" i="4"/>
  <c r="AY21" i="4" s="1"/>
  <c r="AW121" i="4"/>
  <c r="AX29" i="4"/>
  <c r="AY29" i="4" s="1"/>
  <c r="AW129" i="4"/>
  <c r="BB65" i="4"/>
  <c r="BC65" i="4" s="1"/>
  <c r="BA165" i="4"/>
  <c r="AX26" i="4"/>
  <c r="AY26" i="4" s="1"/>
  <c r="AW126" i="4"/>
  <c r="AX34" i="4"/>
  <c r="AY34" i="4" s="1"/>
  <c r="AW134" i="4"/>
  <c r="AX9" i="4"/>
  <c r="AY9" i="4" s="1"/>
  <c r="AW109" i="4"/>
  <c r="BB53" i="4"/>
  <c r="BC53" i="4" s="1"/>
  <c r="BA153" i="4"/>
  <c r="BB61" i="4"/>
  <c r="BC61" i="4" s="1"/>
  <c r="BA161" i="4"/>
  <c r="AX10" i="4"/>
  <c r="AY10" i="4" s="1"/>
  <c r="AW110" i="4"/>
  <c r="AX56" i="4"/>
  <c r="AY56" i="4" s="1"/>
  <c r="AW156" i="4"/>
  <c r="AX30" i="4"/>
  <c r="AY30" i="4" s="1"/>
  <c r="AW130" i="4"/>
  <c r="AX12" i="4"/>
  <c r="AY12" i="4" s="1"/>
  <c r="AW112" i="4"/>
  <c r="AX25" i="4"/>
  <c r="AY25" i="4" s="1"/>
  <c r="AW125" i="4"/>
  <c r="AX23" i="4"/>
  <c r="AY23" i="4" s="1"/>
  <c r="AW123" i="4"/>
  <c r="AX36" i="4"/>
  <c r="AY36" i="4" s="1"/>
  <c r="AW136" i="4"/>
  <c r="AX58" i="4"/>
  <c r="AY58" i="4" s="1"/>
  <c r="AW158" i="4"/>
  <c r="AX14" i="4"/>
  <c r="AY14" i="4" s="1"/>
  <c r="AW114" i="4"/>
  <c r="BD81" i="4"/>
  <c r="BE81" i="4" s="1"/>
  <c r="BF80" i="4" s="1"/>
  <c r="BG80" i="4" s="1"/>
  <c r="BH79" i="4" s="1"/>
  <c r="BI79" i="4" s="1"/>
  <c r="BD83" i="4"/>
  <c r="BE83" i="4" s="1"/>
  <c r="AX38" i="4"/>
  <c r="AY38" i="4" s="1"/>
  <c r="AW138" i="4"/>
  <c r="AZ40" i="4"/>
  <c r="BA40" i="4" s="1"/>
  <c r="AY140" i="4"/>
  <c r="AX27" i="4"/>
  <c r="AY27" i="4" s="1"/>
  <c r="AW127" i="4"/>
  <c r="AX16" i="4"/>
  <c r="AY16" i="4" s="1"/>
  <c r="AW116" i="4"/>
  <c r="BB45" i="4"/>
  <c r="BC45" i="4" s="1"/>
  <c r="BA145" i="4"/>
  <c r="BD84" i="4"/>
  <c r="BE84" i="4" s="1"/>
  <c r="BD82" i="4"/>
  <c r="BE82" i="4" s="1"/>
  <c r="BF81" i="4" s="1"/>
  <c r="BG81" i="4" s="1"/>
  <c r="BH80" i="4" s="1"/>
  <c r="BI80" i="4" s="1"/>
  <c r="AX46" i="4"/>
  <c r="AY46" i="4" s="1"/>
  <c r="AW146" i="4"/>
  <c r="AX48" i="4"/>
  <c r="AY48" i="4" s="1"/>
  <c r="AW148" i="4"/>
  <c r="AX52" i="4"/>
  <c r="AY52" i="4" s="1"/>
  <c r="AW152" i="4"/>
  <c r="AX32" i="4"/>
  <c r="AY32" i="4" s="1"/>
  <c r="AW132" i="4"/>
  <c r="AX40" i="4"/>
  <c r="AY40" i="4" s="1"/>
  <c r="AW140" i="4"/>
  <c r="AY49" i="3"/>
  <c r="AZ49" i="3" s="1"/>
  <c r="AX149" i="3"/>
  <c r="AX138" i="3"/>
  <c r="AW33" i="3"/>
  <c r="AX33" i="3" s="1"/>
  <c r="AV133" i="3"/>
  <c r="AY47" i="3"/>
  <c r="AZ47" i="3" s="1"/>
  <c r="AX147" i="3"/>
  <c r="AY65" i="3"/>
  <c r="AZ65" i="3" s="1"/>
  <c r="AX165" i="3"/>
  <c r="AY67" i="3"/>
  <c r="AZ67" i="3" s="1"/>
  <c r="AW28" i="3"/>
  <c r="AX28" i="3" s="1"/>
  <c r="AV128" i="3"/>
  <c r="BC62" i="3"/>
  <c r="BD62" i="3" s="1"/>
  <c r="BB162" i="3"/>
  <c r="BC64" i="3"/>
  <c r="BD64" i="3" s="1"/>
  <c r="BB164" i="3"/>
  <c r="AW32" i="3"/>
  <c r="AX32" i="3" s="1"/>
  <c r="AV132" i="3"/>
  <c r="AW31" i="3"/>
  <c r="AX31" i="3" s="1"/>
  <c r="AV131" i="3"/>
  <c r="AY63" i="3"/>
  <c r="AZ63" i="3" s="1"/>
  <c r="AX163" i="3"/>
  <c r="AW11" i="3"/>
  <c r="AX11" i="3" s="1"/>
  <c r="AV111" i="3"/>
  <c r="BA41" i="3"/>
  <c r="BB41" i="3" s="1"/>
  <c r="AZ141" i="3"/>
  <c r="BC74" i="3"/>
  <c r="BD74" i="3" s="1"/>
  <c r="BE73" i="3" s="1"/>
  <c r="BF73" i="3" s="1"/>
  <c r="BG72" i="3" s="1"/>
  <c r="BH72" i="3" s="1"/>
  <c r="BH171" i="3" s="1"/>
  <c r="BC76" i="3"/>
  <c r="BD76" i="3" s="1"/>
  <c r="AW30" i="3"/>
  <c r="AX30" i="3" s="1"/>
  <c r="AV130" i="3"/>
  <c r="AW15" i="3"/>
  <c r="AX15" i="3" s="1"/>
  <c r="AV115" i="3"/>
  <c r="AW17" i="3"/>
  <c r="AX17" i="3" s="1"/>
  <c r="AV117" i="3"/>
  <c r="BF170" i="3"/>
  <c r="BC54" i="3"/>
  <c r="BD54" i="3" s="1"/>
  <c r="BB154" i="3"/>
  <c r="BA49" i="3"/>
  <c r="BB49" i="3" s="1"/>
  <c r="AZ149" i="3"/>
  <c r="BC56" i="3"/>
  <c r="BD56" i="3" s="1"/>
  <c r="BB156" i="3"/>
  <c r="BE84" i="3"/>
  <c r="BF84" i="3" s="1"/>
  <c r="BG83" i="3" s="1"/>
  <c r="BH83" i="3" s="1"/>
  <c r="BE82" i="3"/>
  <c r="BF82" i="3" s="1"/>
  <c r="BG81" i="3" s="1"/>
  <c r="BH81" i="3" s="1"/>
  <c r="BC60" i="3"/>
  <c r="BD60" i="3" s="1"/>
  <c r="BB160" i="3"/>
  <c r="AY61" i="3"/>
  <c r="AZ61" i="3" s="1"/>
  <c r="AX161" i="3"/>
  <c r="AW25" i="3"/>
  <c r="AX25" i="3" s="1"/>
  <c r="AV125" i="3"/>
  <c r="AW29" i="3"/>
  <c r="AX29" i="3" s="1"/>
  <c r="AV129" i="3"/>
  <c r="BA74" i="3"/>
  <c r="BB74" i="3" s="1"/>
  <c r="BC73" i="3" s="1"/>
  <c r="BD73" i="3" s="1"/>
  <c r="BE72" i="3" s="1"/>
  <c r="BF72" i="3" s="1"/>
  <c r="BA76" i="3"/>
  <c r="BB76" i="3" s="1"/>
  <c r="AW6" i="3"/>
  <c r="AX6" i="3" s="1"/>
  <c r="AX105" i="3" s="1"/>
  <c r="AV106" i="3"/>
  <c r="BA83" i="3"/>
  <c r="BB83" i="3" s="1"/>
  <c r="AY55" i="3"/>
  <c r="AZ55" i="3" s="1"/>
  <c r="AX155" i="3"/>
  <c r="BC66" i="3"/>
  <c r="BD66" i="3" s="1"/>
  <c r="BB166" i="3"/>
  <c r="BC68" i="3"/>
  <c r="BD68" i="3" s="1"/>
  <c r="AW26" i="3"/>
  <c r="AX26" i="3" s="1"/>
  <c r="AV126" i="3"/>
  <c r="AW37" i="3"/>
  <c r="AX37" i="3" s="1"/>
  <c r="AV137" i="3"/>
  <c r="AW36" i="3"/>
  <c r="AX36" i="3" s="1"/>
  <c r="AV136" i="3"/>
  <c r="AW40" i="3"/>
  <c r="AX40" i="3" s="1"/>
  <c r="AV140" i="3"/>
  <c r="AW12" i="3"/>
  <c r="AX12" i="3" s="1"/>
  <c r="AV112" i="3"/>
  <c r="AY51" i="3"/>
  <c r="AZ51" i="3" s="1"/>
  <c r="AX151" i="3"/>
  <c r="AW24" i="3"/>
  <c r="AX24" i="3" s="1"/>
  <c r="AV124" i="3"/>
  <c r="BB152" i="3"/>
  <c r="BA45" i="3"/>
  <c r="BB45" i="3" s="1"/>
  <c r="AZ145" i="3"/>
  <c r="BC58" i="3"/>
  <c r="BD58" i="3" s="1"/>
  <c r="BB158" i="3"/>
  <c r="AW19" i="3"/>
  <c r="AX19" i="3" s="1"/>
  <c r="AV119" i="3"/>
  <c r="AW10" i="3"/>
  <c r="AX10" i="3" s="1"/>
  <c r="AV110" i="3"/>
  <c r="AW27" i="3"/>
  <c r="AX27" i="3" s="1"/>
  <c r="AV127" i="3"/>
  <c r="AW34" i="3"/>
  <c r="AX34" i="3" s="1"/>
  <c r="AV134" i="3"/>
  <c r="AW20" i="3"/>
  <c r="AX20" i="3" s="1"/>
  <c r="AV120" i="3"/>
  <c r="AW13" i="3"/>
  <c r="AX13" i="3" s="1"/>
  <c r="AV113" i="3"/>
  <c r="BA47" i="3"/>
  <c r="BB47" i="3" s="1"/>
  <c r="AZ147" i="3"/>
  <c r="AW22" i="3"/>
  <c r="AX22" i="3" s="1"/>
  <c r="AV122" i="3"/>
  <c r="AX145" i="3"/>
  <c r="AY57" i="3"/>
  <c r="AZ57" i="3" s="1"/>
  <c r="AX157" i="3"/>
  <c r="AW38" i="3"/>
  <c r="AX38" i="3" s="1"/>
  <c r="AV138" i="3"/>
  <c r="AY59" i="3"/>
  <c r="AZ59" i="3" s="1"/>
  <c r="AX159" i="3"/>
  <c r="AW7" i="3"/>
  <c r="AX7" i="3" s="1"/>
  <c r="AV107" i="3"/>
  <c r="AW21" i="3"/>
  <c r="AX21" i="3" s="1"/>
  <c r="AV121" i="3"/>
  <c r="AW8" i="3"/>
  <c r="AX8" i="3" s="1"/>
  <c r="AV108" i="3"/>
  <c r="AW42" i="3"/>
  <c r="AX42" i="3" s="1"/>
  <c r="AV142" i="3"/>
  <c r="AY40" i="3"/>
  <c r="AZ40" i="3" s="1"/>
  <c r="AW9" i="3"/>
  <c r="AX9" i="3" s="1"/>
  <c r="AV109" i="3"/>
  <c r="BA43" i="3"/>
  <c r="BB43" i="3" s="1"/>
  <c r="AZ143" i="3"/>
  <c r="AW16" i="3"/>
  <c r="AX16" i="3" s="1"/>
  <c r="AV116" i="3"/>
  <c r="AW18" i="3"/>
  <c r="AX18" i="3" s="1"/>
  <c r="AV118" i="3"/>
  <c r="BA51" i="3"/>
  <c r="BB51" i="3" s="1"/>
  <c r="AZ151" i="3"/>
  <c r="AY53" i="3"/>
  <c r="AZ53" i="3" s="1"/>
  <c r="AX153" i="3"/>
  <c r="AW44" i="3"/>
  <c r="AX44" i="3" s="1"/>
  <c r="AY45" i="3" s="1"/>
  <c r="AZ45" i="3" s="1"/>
  <c r="AW23" i="3"/>
  <c r="AX23" i="3" s="1"/>
  <c r="AV123" i="3"/>
  <c r="AW35" i="3"/>
  <c r="AX35" i="3" s="1"/>
  <c r="AV135" i="3"/>
  <c r="AW14" i="3"/>
  <c r="AX14" i="3" s="1"/>
  <c r="AV114" i="3"/>
  <c r="Y186" i="3" l="1"/>
  <c r="AZ6" i="4"/>
  <c r="BA6" i="4" s="1"/>
  <c r="BA105" i="4" s="1"/>
  <c r="AY106" i="4"/>
  <c r="BD70" i="4"/>
  <c r="BE70" i="4" s="1"/>
  <c r="BD72" i="4"/>
  <c r="BE72" i="4" s="1"/>
  <c r="AZ31" i="4"/>
  <c r="BA31" i="4" s="1"/>
  <c r="AY131" i="4"/>
  <c r="BB39" i="4"/>
  <c r="BC39" i="4" s="1"/>
  <c r="BA139" i="4"/>
  <c r="AZ11" i="4"/>
  <c r="BA11" i="4" s="1"/>
  <c r="AY111" i="4"/>
  <c r="AZ25" i="4"/>
  <c r="BA25" i="4" s="1"/>
  <c r="AY125" i="4"/>
  <c r="BD62" i="4"/>
  <c r="BE62" i="4" s="1"/>
  <c r="BC162" i="4"/>
  <c r="BD68" i="4"/>
  <c r="BE68" i="4" s="1"/>
  <c r="BC168" i="4"/>
  <c r="BD48" i="4"/>
  <c r="BE48" i="4" s="1"/>
  <c r="BC148" i="4"/>
  <c r="BA137" i="4"/>
  <c r="AZ10" i="4"/>
  <c r="BA10" i="4" s="1"/>
  <c r="AY110" i="4"/>
  <c r="BF70" i="4"/>
  <c r="BG70" i="4" s="1"/>
  <c r="BF72" i="4"/>
  <c r="BG72" i="4" s="1"/>
  <c r="AZ51" i="4"/>
  <c r="BA51" i="4" s="1"/>
  <c r="AY151" i="4"/>
  <c r="AZ37" i="4"/>
  <c r="BA37" i="4" s="1"/>
  <c r="AY137" i="4"/>
  <c r="AZ29" i="4"/>
  <c r="BA29" i="4" s="1"/>
  <c r="AY129" i="4"/>
  <c r="BD64" i="4"/>
  <c r="BE64" i="4" s="1"/>
  <c r="BC164" i="4"/>
  <c r="BD66" i="4"/>
  <c r="BE66" i="4" s="1"/>
  <c r="BC166" i="4"/>
  <c r="BE168" i="4"/>
  <c r="BD46" i="4"/>
  <c r="BE46" i="4" s="1"/>
  <c r="BC146" i="4"/>
  <c r="AZ14" i="4"/>
  <c r="BA14" i="4" s="1"/>
  <c r="AY114" i="4"/>
  <c r="AZ16" i="4"/>
  <c r="BA16" i="4" s="1"/>
  <c r="AY116" i="4"/>
  <c r="AZ63" i="4"/>
  <c r="BA63" i="4" s="1"/>
  <c r="AY163" i="4"/>
  <c r="AZ65" i="4"/>
  <c r="BA65" i="4" s="1"/>
  <c r="AZ33" i="4"/>
  <c r="BA33" i="4" s="1"/>
  <c r="AY133" i="4"/>
  <c r="AZ47" i="4"/>
  <c r="BA47" i="4" s="1"/>
  <c r="AY147" i="4"/>
  <c r="AZ55" i="4"/>
  <c r="BA55" i="4" s="1"/>
  <c r="AY155" i="4"/>
  <c r="AZ28" i="4"/>
  <c r="BA28" i="4" s="1"/>
  <c r="AY128" i="4"/>
  <c r="AZ41" i="4"/>
  <c r="BA41" i="4" s="1"/>
  <c r="AY141" i="4"/>
  <c r="AZ32" i="4"/>
  <c r="BA32" i="4" s="1"/>
  <c r="AY132" i="4"/>
  <c r="AZ17" i="4"/>
  <c r="BA17" i="4" s="1"/>
  <c r="AY117" i="4"/>
  <c r="AZ26" i="4"/>
  <c r="BA26" i="4" s="1"/>
  <c r="AY126" i="4"/>
  <c r="AZ61" i="4"/>
  <c r="BA61" i="4" s="1"/>
  <c r="AY161" i="4"/>
  <c r="AZ45" i="4"/>
  <c r="BA45" i="4" s="1"/>
  <c r="AY145" i="4"/>
  <c r="AZ13" i="4"/>
  <c r="BA13" i="4" s="1"/>
  <c r="AY113" i="4"/>
  <c r="AZ9" i="4"/>
  <c r="BA9" i="4" s="1"/>
  <c r="AY109" i="4"/>
  <c r="AZ20" i="4"/>
  <c r="BA20" i="4" s="1"/>
  <c r="AY120" i="4"/>
  <c r="BD42" i="4"/>
  <c r="BE42" i="4" s="1"/>
  <c r="BC142" i="4"/>
  <c r="AZ23" i="4"/>
  <c r="BA23" i="4" s="1"/>
  <c r="AY123" i="4"/>
  <c r="AZ39" i="4"/>
  <c r="BA39" i="4" s="1"/>
  <c r="AY139" i="4"/>
  <c r="AZ21" i="4"/>
  <c r="BA21" i="4" s="1"/>
  <c r="AY121" i="4"/>
  <c r="BF83" i="4"/>
  <c r="BG83" i="4" s="1"/>
  <c r="AZ57" i="4"/>
  <c r="BA57" i="4" s="1"/>
  <c r="AY157" i="4"/>
  <c r="BD60" i="4"/>
  <c r="BE60" i="4" s="1"/>
  <c r="BC160" i="4"/>
  <c r="BB41" i="4"/>
  <c r="BC41" i="4" s="1"/>
  <c r="BA141" i="4"/>
  <c r="AZ34" i="4"/>
  <c r="BA34" i="4" s="1"/>
  <c r="AY134" i="4"/>
  <c r="AZ12" i="4"/>
  <c r="BA12" i="4" s="1"/>
  <c r="AY112" i="4"/>
  <c r="AZ43" i="4"/>
  <c r="BA43" i="4" s="1"/>
  <c r="AY143" i="4"/>
  <c r="AZ7" i="4"/>
  <c r="BA7" i="4" s="1"/>
  <c r="AY107" i="4"/>
  <c r="AZ53" i="4"/>
  <c r="BA53" i="4" s="1"/>
  <c r="AY153" i="4"/>
  <c r="BF82" i="4"/>
  <c r="BG82" i="4" s="1"/>
  <c r="BH81" i="4" s="1"/>
  <c r="BI81" i="4" s="1"/>
  <c r="BF84" i="4"/>
  <c r="BG84" i="4" s="1"/>
  <c r="BH83" i="4" s="1"/>
  <c r="BI83" i="4" s="1"/>
  <c r="BD44" i="4"/>
  <c r="BE44" i="4" s="1"/>
  <c r="BC144" i="4"/>
  <c r="AZ35" i="4"/>
  <c r="BA35" i="4" s="1"/>
  <c r="AY135" i="4"/>
  <c r="BD52" i="4"/>
  <c r="BE52" i="4" s="1"/>
  <c r="BC152" i="4"/>
  <c r="BD54" i="4"/>
  <c r="BE54" i="4" s="1"/>
  <c r="BC154" i="4"/>
  <c r="BD56" i="4"/>
  <c r="BE56" i="4" s="1"/>
  <c r="BC156" i="4"/>
  <c r="BD58" i="4"/>
  <c r="BE58" i="4" s="1"/>
  <c r="BC158" i="4"/>
  <c r="AZ49" i="4"/>
  <c r="BA49" i="4" s="1"/>
  <c r="AY149" i="4"/>
  <c r="BD50" i="4"/>
  <c r="BE50" i="4" s="1"/>
  <c r="BC150" i="4"/>
  <c r="AZ18" i="4"/>
  <c r="BA18" i="4" s="1"/>
  <c r="AY118" i="4"/>
  <c r="AZ15" i="4"/>
  <c r="BA15" i="4" s="1"/>
  <c r="AY115" i="4"/>
  <c r="AZ22" i="4"/>
  <c r="BA22" i="4" s="1"/>
  <c r="AY122" i="4"/>
  <c r="AZ8" i="4"/>
  <c r="BA8" i="4" s="1"/>
  <c r="AY108" i="4"/>
  <c r="AZ30" i="4"/>
  <c r="BA30" i="4" s="1"/>
  <c r="AY130" i="4"/>
  <c r="AZ19" i="4"/>
  <c r="BA19" i="4" s="1"/>
  <c r="AY119" i="4"/>
  <c r="AZ27" i="4"/>
  <c r="BA27" i="4" s="1"/>
  <c r="AY127" i="4"/>
  <c r="AZ59" i="4"/>
  <c r="BA59" i="4" s="1"/>
  <c r="AY159" i="4"/>
  <c r="AZ24" i="4"/>
  <c r="BA24" i="4" s="1"/>
  <c r="AY124" i="4"/>
  <c r="AZ36" i="4"/>
  <c r="BA36" i="4" s="1"/>
  <c r="AY6" i="3"/>
  <c r="AZ6" i="3" s="1"/>
  <c r="AZ105" i="3" s="1"/>
  <c r="AX106" i="3"/>
  <c r="AY19" i="3"/>
  <c r="AZ19" i="3" s="1"/>
  <c r="AX119" i="3"/>
  <c r="AY23" i="3"/>
  <c r="AZ23" i="3" s="1"/>
  <c r="AX123" i="3"/>
  <c r="AY29" i="3"/>
  <c r="AZ29" i="3" s="1"/>
  <c r="AX129" i="3"/>
  <c r="BE61" i="3"/>
  <c r="BF61" i="3" s="1"/>
  <c r="BD161" i="3"/>
  <c r="BE55" i="3"/>
  <c r="BF55" i="3" s="1"/>
  <c r="BD155" i="3"/>
  <c r="BB140" i="3"/>
  <c r="BA64" i="3"/>
  <c r="BB64" i="3" s="1"/>
  <c r="AZ164" i="3"/>
  <c r="BA66" i="3"/>
  <c r="BB66" i="3" s="1"/>
  <c r="AZ166" i="3"/>
  <c r="BA68" i="3"/>
  <c r="BB68" i="3" s="1"/>
  <c r="AY13" i="3"/>
  <c r="AZ13" i="3" s="1"/>
  <c r="AX113" i="3"/>
  <c r="BA56" i="3"/>
  <c r="BB56" i="3" s="1"/>
  <c r="AZ156" i="3"/>
  <c r="AY9" i="3"/>
  <c r="AZ9" i="3" s="1"/>
  <c r="AX109" i="3"/>
  <c r="AY39" i="3"/>
  <c r="AZ39" i="3" s="1"/>
  <c r="AX139" i="3"/>
  <c r="BC75" i="3"/>
  <c r="BD75" i="3" s="1"/>
  <c r="BE74" i="3" s="1"/>
  <c r="BF74" i="3" s="1"/>
  <c r="BG73" i="3" s="1"/>
  <c r="BH73" i="3" s="1"/>
  <c r="BC77" i="3"/>
  <c r="BD77" i="3" s="1"/>
  <c r="BC48" i="3"/>
  <c r="BD48" i="3" s="1"/>
  <c r="BB148" i="3"/>
  <c r="AY10" i="3"/>
  <c r="AZ10" i="3" s="1"/>
  <c r="AX110" i="3"/>
  <c r="BE65" i="3"/>
  <c r="BF65" i="3" s="1"/>
  <c r="BD165" i="3"/>
  <c r="AY17" i="3"/>
  <c r="AZ17" i="3" s="1"/>
  <c r="AX117" i="3"/>
  <c r="AY27" i="3"/>
  <c r="AZ27" i="3" s="1"/>
  <c r="AX127" i="3"/>
  <c r="AY15" i="3"/>
  <c r="AZ15" i="3" s="1"/>
  <c r="AX115" i="3"/>
  <c r="AY11" i="3"/>
  <c r="AZ11" i="3" s="1"/>
  <c r="AX111" i="3"/>
  <c r="BE75" i="3"/>
  <c r="BF75" i="3" s="1"/>
  <c r="BG74" i="3" s="1"/>
  <c r="BH74" i="3" s="1"/>
  <c r="BE77" i="3"/>
  <c r="BF77" i="3" s="1"/>
  <c r="AY34" i="3"/>
  <c r="AZ34" i="3" s="1"/>
  <c r="AX134" i="3"/>
  <c r="AZ139" i="3"/>
  <c r="AZ144" i="3"/>
  <c r="AY18" i="3"/>
  <c r="AZ18" i="3" s="1"/>
  <c r="AX118" i="3"/>
  <c r="AY35" i="3"/>
  <c r="AZ35" i="3" s="1"/>
  <c r="AX135" i="3"/>
  <c r="BE53" i="3"/>
  <c r="BF53" i="3" s="1"/>
  <c r="BD153" i="3"/>
  <c r="BA62" i="3"/>
  <c r="BB62" i="3" s="1"/>
  <c r="AZ162" i="3"/>
  <c r="BA46" i="3"/>
  <c r="BB46" i="3" s="1"/>
  <c r="AZ146" i="3"/>
  <c r="BA54" i="3"/>
  <c r="BB54" i="3" s="1"/>
  <c r="AZ154" i="3"/>
  <c r="AY33" i="3"/>
  <c r="AZ33" i="3" s="1"/>
  <c r="AX133" i="3"/>
  <c r="AY8" i="3"/>
  <c r="AZ8" i="3" s="1"/>
  <c r="AX108" i="3"/>
  <c r="AY22" i="3"/>
  <c r="AZ22" i="3" s="1"/>
  <c r="AX122" i="3"/>
  <c r="AY41" i="3"/>
  <c r="AZ41" i="3" s="1"/>
  <c r="AX141" i="3"/>
  <c r="AY21" i="3"/>
  <c r="AZ21" i="3" s="1"/>
  <c r="AX121" i="3"/>
  <c r="BE57" i="3"/>
  <c r="BF57" i="3" s="1"/>
  <c r="BD157" i="3"/>
  <c r="AY36" i="3"/>
  <c r="AZ36" i="3" s="1"/>
  <c r="AX136" i="3"/>
  <c r="AY30" i="3"/>
  <c r="AZ30" i="3" s="1"/>
  <c r="AX130" i="3"/>
  <c r="AY32" i="3"/>
  <c r="AZ32" i="3" s="1"/>
  <c r="AX132" i="3"/>
  <c r="BC50" i="3"/>
  <c r="BD50" i="3" s="1"/>
  <c r="BB150" i="3"/>
  <c r="BC82" i="3"/>
  <c r="BD82" i="3" s="1"/>
  <c r="BE81" i="3" s="1"/>
  <c r="BF81" i="3" s="1"/>
  <c r="BG80" i="3" s="1"/>
  <c r="BH80" i="3" s="1"/>
  <c r="BC84" i="3"/>
  <c r="BD84" i="3" s="1"/>
  <c r="BE83" i="3" s="1"/>
  <c r="BF83" i="3" s="1"/>
  <c r="AY24" i="3"/>
  <c r="AZ24" i="3" s="1"/>
  <c r="AX124" i="3"/>
  <c r="BA50" i="3"/>
  <c r="BB50" i="3" s="1"/>
  <c r="AZ150" i="3"/>
  <c r="AY26" i="3"/>
  <c r="AZ26" i="3" s="1"/>
  <c r="AX126" i="3"/>
  <c r="AY28" i="3"/>
  <c r="AZ28" i="3" s="1"/>
  <c r="AX128" i="3"/>
  <c r="AY43" i="3"/>
  <c r="AZ43" i="3" s="1"/>
  <c r="AX143" i="3"/>
  <c r="AY7" i="3"/>
  <c r="AZ7" i="3" s="1"/>
  <c r="AX107" i="3"/>
  <c r="BC46" i="3"/>
  <c r="BD46" i="3" s="1"/>
  <c r="BB146" i="3"/>
  <c r="BC44" i="3"/>
  <c r="BD44" i="3" s="1"/>
  <c r="BB144" i="3"/>
  <c r="AY25" i="3"/>
  <c r="AZ25" i="3" s="1"/>
  <c r="AX125" i="3"/>
  <c r="AY16" i="3"/>
  <c r="AZ16" i="3" s="1"/>
  <c r="AX116" i="3"/>
  <c r="AY31" i="3"/>
  <c r="AZ31" i="3" s="1"/>
  <c r="AX131" i="3"/>
  <c r="AY38" i="3"/>
  <c r="AZ38" i="3" s="1"/>
  <c r="BE59" i="3"/>
  <c r="BF59" i="3" s="1"/>
  <c r="BD159" i="3"/>
  <c r="BC42" i="3"/>
  <c r="BD42" i="3" s="1"/>
  <c r="BB142" i="3"/>
  <c r="BA52" i="3"/>
  <c r="BB52" i="3" s="1"/>
  <c r="AZ152" i="3"/>
  <c r="BE67" i="3"/>
  <c r="BF67" i="3" s="1"/>
  <c r="BD167" i="3"/>
  <c r="BE69" i="3"/>
  <c r="BF69" i="3" s="1"/>
  <c r="BA60" i="3"/>
  <c r="BB60" i="3" s="1"/>
  <c r="AZ160" i="3"/>
  <c r="BA58" i="3"/>
  <c r="BB58" i="3" s="1"/>
  <c r="AZ158" i="3"/>
  <c r="AY37" i="3"/>
  <c r="AZ37" i="3" s="1"/>
  <c r="AX137" i="3"/>
  <c r="AY20" i="3"/>
  <c r="AZ20" i="3" s="1"/>
  <c r="AX120" i="3"/>
  <c r="AY12" i="3"/>
  <c r="AZ12" i="3" s="1"/>
  <c r="AX112" i="3"/>
  <c r="BC52" i="3"/>
  <c r="BD52" i="3" s="1"/>
  <c r="AY14" i="3"/>
  <c r="AZ14" i="3" s="1"/>
  <c r="AX114" i="3"/>
  <c r="BE63" i="3"/>
  <c r="BF63" i="3" s="1"/>
  <c r="BD163" i="3"/>
  <c r="BA48" i="3"/>
  <c r="BB48" i="3" s="1"/>
  <c r="AZ148" i="3"/>
  <c r="Z186" i="3" l="1"/>
  <c r="BB12" i="4"/>
  <c r="BC12" i="4" s="1"/>
  <c r="BA112" i="4"/>
  <c r="BH84" i="4"/>
  <c r="BI84" i="4" s="1"/>
  <c r="BH82" i="4"/>
  <c r="BI82" i="4" s="1"/>
  <c r="BB44" i="4"/>
  <c r="BC44" i="4" s="1"/>
  <c r="BA144" i="4"/>
  <c r="BB46" i="4"/>
  <c r="BC46" i="4" s="1"/>
  <c r="BA146" i="4"/>
  <c r="BB56" i="4"/>
  <c r="BC56" i="4" s="1"/>
  <c r="BA156" i="4"/>
  <c r="BB26" i="4"/>
  <c r="BC26" i="4" s="1"/>
  <c r="BA126" i="4"/>
  <c r="BB48" i="4"/>
  <c r="BC48" i="4" s="1"/>
  <c r="BA148" i="4"/>
  <c r="BB52" i="4"/>
  <c r="BC52" i="4" s="1"/>
  <c r="BA152" i="4"/>
  <c r="BF63" i="4"/>
  <c r="BG63" i="4" s="1"/>
  <c r="BE163" i="4"/>
  <c r="BF67" i="4"/>
  <c r="BG67" i="4" s="1"/>
  <c r="BE167" i="4"/>
  <c r="BB20" i="4"/>
  <c r="BC20" i="4" s="1"/>
  <c r="BA120" i="4"/>
  <c r="BB60" i="4"/>
  <c r="BC60" i="4" s="1"/>
  <c r="BA160" i="4"/>
  <c r="BB32" i="4"/>
  <c r="BC32" i="4" s="1"/>
  <c r="BA132" i="4"/>
  <c r="BB25" i="4"/>
  <c r="BC25" i="4" s="1"/>
  <c r="BA125" i="4"/>
  <c r="BB54" i="4"/>
  <c r="BC54" i="4" s="1"/>
  <c r="BA154" i="4"/>
  <c r="BF49" i="4"/>
  <c r="BG49" i="4" s="1"/>
  <c r="BE149" i="4"/>
  <c r="BB38" i="4"/>
  <c r="BC38" i="4" s="1"/>
  <c r="BA138" i="4"/>
  <c r="BB29" i="4"/>
  <c r="BC29" i="4" s="1"/>
  <c r="BA129" i="4"/>
  <c r="BF55" i="4"/>
  <c r="BG55" i="4" s="1"/>
  <c r="BE155" i="4"/>
  <c r="BB42" i="4"/>
  <c r="BC42" i="4" s="1"/>
  <c r="BA142" i="4"/>
  <c r="BB62" i="4"/>
  <c r="BC62" i="4" s="1"/>
  <c r="BA162" i="4"/>
  <c r="BB36" i="4"/>
  <c r="BC36" i="4" s="1"/>
  <c r="BA136" i="4"/>
  <c r="BB24" i="4"/>
  <c r="BC24" i="4" s="1"/>
  <c r="BA124" i="4"/>
  <c r="BB6" i="4"/>
  <c r="BC6" i="4" s="1"/>
  <c r="BC105" i="4" s="1"/>
  <c r="BA106" i="4"/>
  <c r="BB22" i="4"/>
  <c r="BC22" i="4" s="1"/>
  <c r="BA122" i="4"/>
  <c r="BB16" i="4"/>
  <c r="BC16" i="4" s="1"/>
  <c r="BA116" i="4"/>
  <c r="BB58" i="4"/>
  <c r="BC58" i="4" s="1"/>
  <c r="BA158" i="4"/>
  <c r="BF61" i="4"/>
  <c r="BG61" i="4" s="1"/>
  <c r="BE161" i="4"/>
  <c r="BB11" i="4"/>
  <c r="BC11" i="4" s="1"/>
  <c r="BA111" i="4"/>
  <c r="BB15" i="4"/>
  <c r="BC15" i="4" s="1"/>
  <c r="BA115" i="4"/>
  <c r="BB50" i="4"/>
  <c r="BC50" i="4" s="1"/>
  <c r="BA150" i="4"/>
  <c r="BB10" i="4"/>
  <c r="BC10" i="4" s="1"/>
  <c r="BA110" i="4"/>
  <c r="BE141" i="4"/>
  <c r="BB31" i="4"/>
  <c r="BC31" i="4" s="1"/>
  <c r="BA131" i="4"/>
  <c r="BH71" i="4"/>
  <c r="BI71" i="4" s="1"/>
  <c r="BI170" i="4" s="1"/>
  <c r="BH73" i="4"/>
  <c r="BI73" i="4" s="1"/>
  <c r="BF47" i="4"/>
  <c r="BG47" i="4" s="1"/>
  <c r="BE147" i="4"/>
  <c r="BF57" i="4"/>
  <c r="BG57" i="4" s="1"/>
  <c r="BE157" i="4"/>
  <c r="BB64" i="4"/>
  <c r="BC64" i="4" s="1"/>
  <c r="BA164" i="4"/>
  <c r="BB66" i="4"/>
  <c r="BC66" i="4" s="1"/>
  <c r="BF53" i="4"/>
  <c r="BG53" i="4" s="1"/>
  <c r="BE153" i="4"/>
  <c r="BB21" i="4"/>
  <c r="BC21" i="4" s="1"/>
  <c r="BA121" i="4"/>
  <c r="BF51" i="4"/>
  <c r="BG51" i="4" s="1"/>
  <c r="BE151" i="4"/>
  <c r="BB33" i="4"/>
  <c r="BC33" i="4" s="1"/>
  <c r="BA133" i="4"/>
  <c r="BB13" i="4"/>
  <c r="BC13" i="4" s="1"/>
  <c r="BA113" i="4"/>
  <c r="BG169" i="4"/>
  <c r="BD38" i="4"/>
  <c r="BE38" i="4" s="1"/>
  <c r="BC138" i="4"/>
  <c r="BF65" i="4"/>
  <c r="BG65" i="4" s="1"/>
  <c r="BE165" i="4"/>
  <c r="BB18" i="4"/>
  <c r="BC18" i="4" s="1"/>
  <c r="BA118" i="4"/>
  <c r="BB28" i="4"/>
  <c r="BC28" i="4" s="1"/>
  <c r="BA128" i="4"/>
  <c r="BB7" i="4"/>
  <c r="BC7" i="4" s="1"/>
  <c r="BA107" i="4"/>
  <c r="BB19" i="4"/>
  <c r="BC19" i="4" s="1"/>
  <c r="BA119" i="4"/>
  <c r="BB40" i="4"/>
  <c r="BC40" i="4" s="1"/>
  <c r="BA140" i="4"/>
  <c r="BB35" i="4"/>
  <c r="BC35" i="4" s="1"/>
  <c r="BA135" i="4"/>
  <c r="BB14" i="4"/>
  <c r="BC14" i="4" s="1"/>
  <c r="BA114" i="4"/>
  <c r="BB34" i="4"/>
  <c r="BC34" i="4" s="1"/>
  <c r="BA134" i="4"/>
  <c r="BD40" i="4"/>
  <c r="BE40" i="4" s="1"/>
  <c r="BC140" i="4"/>
  <c r="BF45" i="4"/>
  <c r="BG45" i="4" s="1"/>
  <c r="BE145" i="4"/>
  <c r="BB9" i="4"/>
  <c r="BC9" i="4" s="1"/>
  <c r="BA109" i="4"/>
  <c r="BB30" i="4"/>
  <c r="BC30" i="4" s="1"/>
  <c r="BA130" i="4"/>
  <c r="BB8" i="4"/>
  <c r="BC8" i="4" s="1"/>
  <c r="BA108" i="4"/>
  <c r="BB27" i="4"/>
  <c r="BC27" i="4" s="1"/>
  <c r="BA127" i="4"/>
  <c r="BF71" i="4"/>
  <c r="BG71" i="4" s="1"/>
  <c r="BF73" i="4"/>
  <c r="BG73" i="4" s="1"/>
  <c r="BB23" i="4"/>
  <c r="BC23" i="4" s="1"/>
  <c r="BA123" i="4"/>
  <c r="BB17" i="4"/>
  <c r="BC17" i="4" s="1"/>
  <c r="BA117" i="4"/>
  <c r="BF43" i="4"/>
  <c r="BG43" i="4" s="1"/>
  <c r="BE143" i="4"/>
  <c r="BF59" i="4"/>
  <c r="BG59" i="4" s="1"/>
  <c r="BE159" i="4"/>
  <c r="BB37" i="4"/>
  <c r="BC37" i="4" s="1"/>
  <c r="BF69" i="4"/>
  <c r="BG69" i="4" s="1"/>
  <c r="BE169" i="4"/>
  <c r="BG58" i="3"/>
  <c r="BH58" i="3" s="1"/>
  <c r="BH157" i="3" s="1"/>
  <c r="BF158" i="3"/>
  <c r="BG76" i="3"/>
  <c r="BH76" i="3" s="1"/>
  <c r="BG78" i="3"/>
  <c r="BH78" i="3" s="1"/>
  <c r="BE47" i="3"/>
  <c r="BF47" i="3" s="1"/>
  <c r="BD147" i="3"/>
  <c r="BA10" i="3"/>
  <c r="BB10" i="3" s="1"/>
  <c r="AZ110" i="3"/>
  <c r="BA38" i="3"/>
  <c r="BB38" i="3" s="1"/>
  <c r="AZ138" i="3"/>
  <c r="BG54" i="3"/>
  <c r="BH54" i="3" s="1"/>
  <c r="BH153" i="3" s="1"/>
  <c r="BF154" i="3"/>
  <c r="BA29" i="3"/>
  <c r="BB29" i="3" s="1"/>
  <c r="AZ129" i="3"/>
  <c r="BA15" i="3"/>
  <c r="BB15" i="3" s="1"/>
  <c r="AZ115" i="3"/>
  <c r="BC49" i="3"/>
  <c r="BD49" i="3" s="1"/>
  <c r="BB149" i="3"/>
  <c r="BA20" i="3"/>
  <c r="BB20" i="3" s="1"/>
  <c r="AZ120" i="3"/>
  <c r="BF152" i="3"/>
  <c r="BC63" i="3"/>
  <c r="BD63" i="3" s="1"/>
  <c r="BB163" i="3"/>
  <c r="BB145" i="3"/>
  <c r="BA14" i="3"/>
  <c r="BB14" i="3" s="1"/>
  <c r="AZ114" i="3"/>
  <c r="BA8" i="3"/>
  <c r="BB8" i="3" s="1"/>
  <c r="AZ108" i="3"/>
  <c r="BG60" i="3"/>
  <c r="BH60" i="3" s="1"/>
  <c r="BH159" i="3" s="1"/>
  <c r="BF160" i="3"/>
  <c r="BA11" i="3"/>
  <c r="BB11" i="3" s="1"/>
  <c r="AZ111" i="3"/>
  <c r="BC59" i="3"/>
  <c r="BD59" i="3" s="1"/>
  <c r="BB159" i="3"/>
  <c r="BA24" i="3"/>
  <c r="BB24" i="3" s="1"/>
  <c r="AZ124" i="3"/>
  <c r="BA23" i="3"/>
  <c r="BB23" i="3" s="1"/>
  <c r="AZ123" i="3"/>
  <c r="BA40" i="3"/>
  <c r="BB40" i="3" s="1"/>
  <c r="AZ140" i="3"/>
  <c r="BA34" i="3"/>
  <c r="BB34" i="3" s="1"/>
  <c r="AZ134" i="3"/>
  <c r="BA33" i="3"/>
  <c r="BB33" i="3" s="1"/>
  <c r="AZ133" i="3"/>
  <c r="BE76" i="3"/>
  <c r="BF76" i="3" s="1"/>
  <c r="BG75" i="3" s="1"/>
  <c r="BH75" i="3" s="1"/>
  <c r="BE78" i="3"/>
  <c r="BF78" i="3" s="1"/>
  <c r="BG56" i="3"/>
  <c r="BH56" i="3" s="1"/>
  <c r="BH155" i="3" s="1"/>
  <c r="BF156" i="3"/>
  <c r="BA26" i="3"/>
  <c r="BB26" i="3" s="1"/>
  <c r="AZ126" i="3"/>
  <c r="BC55" i="3"/>
  <c r="BD55" i="3" s="1"/>
  <c r="BB155" i="3"/>
  <c r="BA28" i="3"/>
  <c r="BB28" i="3" s="1"/>
  <c r="AZ128" i="3"/>
  <c r="BA42" i="3"/>
  <c r="BB42" i="3" s="1"/>
  <c r="AZ142" i="3"/>
  <c r="BA27" i="3"/>
  <c r="BB27" i="3" s="1"/>
  <c r="AZ127" i="3"/>
  <c r="BA30" i="3"/>
  <c r="BB30" i="3" s="1"/>
  <c r="AZ130" i="3"/>
  <c r="BC47" i="3"/>
  <c r="BD47" i="3" s="1"/>
  <c r="BB147" i="3"/>
  <c r="BE43" i="3"/>
  <c r="BF43" i="3" s="1"/>
  <c r="BD143" i="3"/>
  <c r="BA21" i="3"/>
  <c r="BB21" i="3" s="1"/>
  <c r="AZ121" i="3"/>
  <c r="BA17" i="3"/>
  <c r="BB17" i="3" s="1"/>
  <c r="AZ117" i="3"/>
  <c r="BA16" i="3"/>
  <c r="BB16" i="3" s="1"/>
  <c r="AZ116" i="3"/>
  <c r="BA12" i="3"/>
  <c r="BB12" i="3" s="1"/>
  <c r="AZ112" i="3"/>
  <c r="BA22" i="3"/>
  <c r="BB22" i="3" s="1"/>
  <c r="AZ122" i="3"/>
  <c r="BC53" i="3"/>
  <c r="BD53" i="3" s="1"/>
  <c r="BB153" i="3"/>
  <c r="BA19" i="3"/>
  <c r="BB19" i="3" s="1"/>
  <c r="AZ119" i="3"/>
  <c r="BC61" i="3"/>
  <c r="BD61" i="3" s="1"/>
  <c r="BB161" i="3"/>
  <c r="BG68" i="3"/>
  <c r="BH68" i="3" s="1"/>
  <c r="BH167" i="3" s="1"/>
  <c r="BF168" i="3"/>
  <c r="BG70" i="3"/>
  <c r="BH70" i="3" s="1"/>
  <c r="BH169" i="3" s="1"/>
  <c r="BG66" i="3"/>
  <c r="BH66" i="3" s="1"/>
  <c r="BH165" i="3" s="1"/>
  <c r="BF166" i="3"/>
  <c r="BE45" i="3"/>
  <c r="BF45" i="3" s="1"/>
  <c r="BD145" i="3"/>
  <c r="BE49" i="3"/>
  <c r="BF49" i="3" s="1"/>
  <c r="BD149" i="3"/>
  <c r="BA7" i="3"/>
  <c r="BB7" i="3" s="1"/>
  <c r="AZ107" i="3"/>
  <c r="BA44" i="3"/>
  <c r="BB44" i="3" s="1"/>
  <c r="BC67" i="3"/>
  <c r="BD67" i="3" s="1"/>
  <c r="BB167" i="3"/>
  <c r="BC69" i="3"/>
  <c r="BD69" i="3" s="1"/>
  <c r="BA37" i="3"/>
  <c r="BB37" i="3" s="1"/>
  <c r="AZ137" i="3"/>
  <c r="BA25" i="3"/>
  <c r="BB25" i="3" s="1"/>
  <c r="AZ125" i="3"/>
  <c r="BC57" i="3"/>
  <c r="BD57" i="3" s="1"/>
  <c r="BB157" i="3"/>
  <c r="BA13" i="3"/>
  <c r="BB13" i="3" s="1"/>
  <c r="AZ113" i="3"/>
  <c r="BC51" i="3"/>
  <c r="BD51" i="3" s="1"/>
  <c r="BB151" i="3"/>
  <c r="BG64" i="3"/>
  <c r="BH64" i="3" s="1"/>
  <c r="BH163" i="3" s="1"/>
  <c r="BF164" i="3"/>
  <c r="BA18" i="3"/>
  <c r="BB18" i="3" s="1"/>
  <c r="AZ118" i="3"/>
  <c r="BG84" i="3"/>
  <c r="BH84" i="3" s="1"/>
  <c r="BG82" i="3"/>
  <c r="BH82" i="3" s="1"/>
  <c r="BG62" i="3"/>
  <c r="BH62" i="3" s="1"/>
  <c r="BH161" i="3" s="1"/>
  <c r="BF162" i="3"/>
  <c r="BE51" i="3"/>
  <c r="BF51" i="3" s="1"/>
  <c r="BG52" i="3" s="1"/>
  <c r="BH52" i="3" s="1"/>
  <c r="BH151" i="3" s="1"/>
  <c r="BD151" i="3"/>
  <c r="BA6" i="3"/>
  <c r="BB6" i="3" s="1"/>
  <c r="BB105" i="3" s="1"/>
  <c r="AZ106" i="3"/>
  <c r="BA31" i="3"/>
  <c r="BB31" i="3" s="1"/>
  <c r="AZ131" i="3"/>
  <c r="BA32" i="3"/>
  <c r="BB32" i="3" s="1"/>
  <c r="AZ132" i="3"/>
  <c r="BA39" i="3"/>
  <c r="BB39" i="3" s="1"/>
  <c r="BC65" i="3"/>
  <c r="BD65" i="3" s="1"/>
  <c r="BB165" i="3"/>
  <c r="BA35" i="3"/>
  <c r="BB35" i="3" s="1"/>
  <c r="AZ135" i="3"/>
  <c r="BA36" i="3"/>
  <c r="BB36" i="3" s="1"/>
  <c r="AZ136" i="3"/>
  <c r="BD141" i="3"/>
  <c r="BA9" i="3"/>
  <c r="BB9" i="3" s="1"/>
  <c r="AZ109" i="3"/>
  <c r="AA186" i="3" l="1"/>
  <c r="BD9" i="4"/>
  <c r="BE9" i="4" s="1"/>
  <c r="BC109" i="4"/>
  <c r="BH48" i="4"/>
  <c r="BI48" i="4" s="1"/>
  <c r="BI147" i="4" s="1"/>
  <c r="BG148" i="4"/>
  <c r="BD51" i="4"/>
  <c r="BE51" i="4" s="1"/>
  <c r="BC151" i="4"/>
  <c r="BD65" i="4"/>
  <c r="BE65" i="4" s="1"/>
  <c r="BC165" i="4"/>
  <c r="BD67" i="4"/>
  <c r="BE67" i="4" s="1"/>
  <c r="BD49" i="4"/>
  <c r="BE49" i="4" s="1"/>
  <c r="BC149" i="4"/>
  <c r="BD23" i="4"/>
  <c r="BE23" i="4" s="1"/>
  <c r="BC123" i="4"/>
  <c r="BD53" i="4"/>
  <c r="BE53" i="4" s="1"/>
  <c r="BC153" i="4"/>
  <c r="BD47" i="4"/>
  <c r="BE47" i="4" s="1"/>
  <c r="BC147" i="4"/>
  <c r="BH64" i="4"/>
  <c r="BI64" i="4" s="1"/>
  <c r="BI163" i="4" s="1"/>
  <c r="BG164" i="4"/>
  <c r="BD20" i="4"/>
  <c r="BE20" i="4" s="1"/>
  <c r="BC120" i="4"/>
  <c r="BD16" i="4"/>
  <c r="BE16" i="4" s="1"/>
  <c r="BC116" i="4"/>
  <c r="BD22" i="4"/>
  <c r="BE22" i="4" s="1"/>
  <c r="BC122" i="4"/>
  <c r="BD13" i="4"/>
  <c r="BE13" i="4" s="1"/>
  <c r="BC113" i="4"/>
  <c r="BD33" i="4"/>
  <c r="BE33" i="4" s="1"/>
  <c r="BC133" i="4"/>
  <c r="BD63" i="4"/>
  <c r="BE63" i="4" s="1"/>
  <c r="BC163" i="4"/>
  <c r="BE137" i="4"/>
  <c r="BH56" i="4"/>
  <c r="BI56" i="4" s="1"/>
  <c r="BI155" i="4" s="1"/>
  <c r="BG156" i="4"/>
  <c r="BD10" i="4"/>
  <c r="BE10" i="4" s="1"/>
  <c r="BC110" i="4"/>
  <c r="BD61" i="4"/>
  <c r="BE61" i="4" s="1"/>
  <c r="BC161" i="4"/>
  <c r="BD31" i="4"/>
  <c r="BE31" i="4" s="1"/>
  <c r="BC131" i="4"/>
  <c r="BD55" i="4"/>
  <c r="BE55" i="4" s="1"/>
  <c r="BC155" i="4"/>
  <c r="BH42" i="4"/>
  <c r="BI42" i="4" s="1"/>
  <c r="BI141" i="4" s="1"/>
  <c r="BG142" i="4"/>
  <c r="BH52" i="4"/>
  <c r="BI52" i="4" s="1"/>
  <c r="BI151" i="4" s="1"/>
  <c r="BG152" i="4"/>
  <c r="BD34" i="4"/>
  <c r="BE34" i="4" s="1"/>
  <c r="BC134" i="4"/>
  <c r="BH72" i="4"/>
  <c r="BI72" i="4" s="1"/>
  <c r="BI171" i="4" s="1"/>
  <c r="BH74" i="4"/>
  <c r="BI74" i="4" s="1"/>
  <c r="BH46" i="4"/>
  <c r="BI46" i="4" s="1"/>
  <c r="BI145" i="4" s="1"/>
  <c r="BG146" i="4"/>
  <c r="BH60" i="4"/>
  <c r="BI60" i="4" s="1"/>
  <c r="BI159" i="4" s="1"/>
  <c r="BG160" i="4"/>
  <c r="BD41" i="4"/>
  <c r="BE41" i="4" s="1"/>
  <c r="BC141" i="4"/>
  <c r="BD59" i="4"/>
  <c r="BE59" i="4" s="1"/>
  <c r="BC159" i="4"/>
  <c r="BD45" i="4"/>
  <c r="BE45" i="4" s="1"/>
  <c r="BC145" i="4"/>
  <c r="BH70" i="4"/>
  <c r="BI70" i="4" s="1"/>
  <c r="BI169" i="4" s="1"/>
  <c r="BG170" i="4"/>
  <c r="BD7" i="4"/>
  <c r="BE7" i="4" s="1"/>
  <c r="BC107" i="4"/>
  <c r="BD39" i="4"/>
  <c r="BE39" i="4" s="1"/>
  <c r="BC139" i="4"/>
  <c r="BD12" i="4"/>
  <c r="BE12" i="4" s="1"/>
  <c r="BC112" i="4"/>
  <c r="BD35" i="4"/>
  <c r="BE35" i="4" s="1"/>
  <c r="BC135" i="4"/>
  <c r="BH68" i="4"/>
  <c r="BI68" i="4" s="1"/>
  <c r="BI167" i="4" s="1"/>
  <c r="BG168" i="4"/>
  <c r="BD57" i="4"/>
  <c r="BE57" i="4" s="1"/>
  <c r="BC157" i="4"/>
  <c r="BH54" i="4"/>
  <c r="BI54" i="4" s="1"/>
  <c r="BI153" i="4" s="1"/>
  <c r="BG154" i="4"/>
  <c r="BD19" i="4"/>
  <c r="BE19" i="4" s="1"/>
  <c r="BC119" i="4"/>
  <c r="BD43" i="4"/>
  <c r="BE43" i="4" s="1"/>
  <c r="BC143" i="4"/>
  <c r="BH44" i="4"/>
  <c r="BI44" i="4" s="1"/>
  <c r="BI143" i="4" s="1"/>
  <c r="BG144" i="4"/>
  <c r="BD17" i="4"/>
  <c r="BE17" i="4" s="1"/>
  <c r="BC117" i="4"/>
  <c r="BD14" i="4"/>
  <c r="BE14" i="4" s="1"/>
  <c r="BC114" i="4"/>
  <c r="BD26" i="4"/>
  <c r="BE26" i="4" s="1"/>
  <c r="BC126" i="4"/>
  <c r="BD36" i="4"/>
  <c r="BE36" i="4" s="1"/>
  <c r="BF37" i="4" s="1"/>
  <c r="BG37" i="4" s="1"/>
  <c r="BC136" i="4"/>
  <c r="BD29" i="4"/>
  <c r="BE29" i="4" s="1"/>
  <c r="BC129" i="4"/>
  <c r="BD18" i="4"/>
  <c r="BE18" i="4" s="1"/>
  <c r="BC118" i="4"/>
  <c r="BD32" i="4"/>
  <c r="BE32" i="4" s="1"/>
  <c r="BC132" i="4"/>
  <c r="BD30" i="4"/>
  <c r="BE30" i="4" s="1"/>
  <c r="BC130" i="4"/>
  <c r="BD15" i="4"/>
  <c r="BE15" i="4" s="1"/>
  <c r="BC115" i="4"/>
  <c r="BD28" i="4"/>
  <c r="BE28" i="4" s="1"/>
  <c r="BC128" i="4"/>
  <c r="BH66" i="4"/>
  <c r="BI66" i="4" s="1"/>
  <c r="BI165" i="4" s="1"/>
  <c r="BG166" i="4"/>
  <c r="BD27" i="4"/>
  <c r="BE27" i="4" s="1"/>
  <c r="BC127" i="4"/>
  <c r="BF39" i="4"/>
  <c r="BG39" i="4" s="1"/>
  <c r="BE139" i="4"/>
  <c r="BD25" i="4"/>
  <c r="BE25" i="4" s="1"/>
  <c r="BC125" i="4"/>
  <c r="BH58" i="4"/>
  <c r="BI58" i="4" s="1"/>
  <c r="BI157" i="4" s="1"/>
  <c r="BG158" i="4"/>
  <c r="BD8" i="4"/>
  <c r="BE8" i="4" s="1"/>
  <c r="BC108" i="4"/>
  <c r="BD6" i="4"/>
  <c r="BE6" i="4" s="1"/>
  <c r="BE105" i="4" s="1"/>
  <c r="BC106" i="4"/>
  <c r="BH50" i="4"/>
  <c r="BI50" i="4" s="1"/>
  <c r="BI149" i="4" s="1"/>
  <c r="BG150" i="4"/>
  <c r="BD24" i="4"/>
  <c r="BE24" i="4" s="1"/>
  <c r="BC124" i="4"/>
  <c r="BF41" i="4"/>
  <c r="BG41" i="4" s="1"/>
  <c r="BD21" i="4"/>
  <c r="BE21" i="4" s="1"/>
  <c r="BC121" i="4"/>
  <c r="BD37" i="4"/>
  <c r="BE37" i="4" s="1"/>
  <c r="BC137" i="4"/>
  <c r="BH62" i="4"/>
  <c r="BI62" i="4" s="1"/>
  <c r="BI161" i="4" s="1"/>
  <c r="BG162" i="4"/>
  <c r="BD11" i="4"/>
  <c r="BE11" i="4" s="1"/>
  <c r="BC111" i="4"/>
  <c r="BG77" i="3"/>
  <c r="BH77" i="3" s="1"/>
  <c r="BG79" i="3"/>
  <c r="BH79" i="3" s="1"/>
  <c r="BC34" i="3"/>
  <c r="BD34" i="3" s="1"/>
  <c r="BB134" i="3"/>
  <c r="BE66" i="3"/>
  <c r="BF66" i="3" s="1"/>
  <c r="BD166" i="3"/>
  <c r="BC18" i="3"/>
  <c r="BD18" i="3" s="1"/>
  <c r="BB118" i="3"/>
  <c r="BD146" i="3"/>
  <c r="BC14" i="3"/>
  <c r="BD14" i="3" s="1"/>
  <c r="BB114" i="3"/>
  <c r="BC21" i="3"/>
  <c r="BD21" i="3" s="1"/>
  <c r="BB121" i="3"/>
  <c r="BC26" i="3"/>
  <c r="BD26" i="3" s="1"/>
  <c r="BB126" i="3"/>
  <c r="BC33" i="3"/>
  <c r="BD33" i="3" s="1"/>
  <c r="BB133" i="3"/>
  <c r="BC13" i="3"/>
  <c r="BD13" i="3" s="1"/>
  <c r="BB113" i="3"/>
  <c r="BC43" i="3"/>
  <c r="BD43" i="3" s="1"/>
  <c r="BB143" i="3"/>
  <c r="BC29" i="3"/>
  <c r="BD29" i="3" s="1"/>
  <c r="BB129" i="3"/>
  <c r="BC11" i="3"/>
  <c r="BD11" i="3" s="1"/>
  <c r="BB111" i="3"/>
  <c r="BC41" i="3"/>
  <c r="BD41" i="3" s="1"/>
  <c r="BB141" i="3"/>
  <c r="BC39" i="3"/>
  <c r="BD39" i="3" s="1"/>
  <c r="BB139" i="3"/>
  <c r="BC45" i="3"/>
  <c r="BD45" i="3" s="1"/>
  <c r="BE46" i="3" s="1"/>
  <c r="BF46" i="3" s="1"/>
  <c r="BC37" i="3"/>
  <c r="BD37" i="3" s="1"/>
  <c r="BB137" i="3"/>
  <c r="BE52" i="3"/>
  <c r="BF52" i="3" s="1"/>
  <c r="BD152" i="3"/>
  <c r="BC7" i="3"/>
  <c r="BD7" i="3" s="1"/>
  <c r="BB107" i="3"/>
  <c r="BC27" i="3"/>
  <c r="BD27" i="3" s="1"/>
  <c r="BB127" i="3"/>
  <c r="BC17" i="3"/>
  <c r="BD17" i="3" s="1"/>
  <c r="BB117" i="3"/>
  <c r="BC28" i="3"/>
  <c r="BD28" i="3" s="1"/>
  <c r="BB128" i="3"/>
  <c r="BC38" i="3"/>
  <c r="BD38" i="3" s="1"/>
  <c r="BB138" i="3"/>
  <c r="BC40" i="3"/>
  <c r="BD40" i="3" s="1"/>
  <c r="BC6" i="3"/>
  <c r="BD6" i="3" s="1"/>
  <c r="BD105" i="3" s="1"/>
  <c r="BB106" i="3"/>
  <c r="BE50" i="3"/>
  <c r="BF50" i="3" s="1"/>
  <c r="BD150" i="3"/>
  <c r="BC12" i="3"/>
  <c r="BD12" i="3" s="1"/>
  <c r="BB112" i="3"/>
  <c r="BG44" i="3"/>
  <c r="BH44" i="3" s="1"/>
  <c r="BH143" i="3" s="1"/>
  <c r="BF144" i="3"/>
  <c r="BC9" i="3"/>
  <c r="BD9" i="3" s="1"/>
  <c r="BB109" i="3"/>
  <c r="BC16" i="3"/>
  <c r="BD16" i="3" s="1"/>
  <c r="BB116" i="3"/>
  <c r="BE54" i="3"/>
  <c r="BF54" i="3" s="1"/>
  <c r="BD154" i="3"/>
  <c r="BC23" i="3"/>
  <c r="BD23" i="3" s="1"/>
  <c r="BB123" i="3"/>
  <c r="BG46" i="3"/>
  <c r="BH46" i="3" s="1"/>
  <c r="BH145" i="3" s="1"/>
  <c r="BF146" i="3"/>
  <c r="BC32" i="3"/>
  <c r="BD32" i="3" s="1"/>
  <c r="BB132" i="3"/>
  <c r="BC22" i="3"/>
  <c r="BD22" i="3" s="1"/>
  <c r="BB122" i="3"/>
  <c r="BG50" i="3"/>
  <c r="BH50" i="3" s="1"/>
  <c r="BH149" i="3" s="1"/>
  <c r="BF150" i="3"/>
  <c r="BE64" i="3"/>
  <c r="BF64" i="3" s="1"/>
  <c r="BD164" i="3"/>
  <c r="BG48" i="3"/>
  <c r="BH48" i="3" s="1"/>
  <c r="BH147" i="3" s="1"/>
  <c r="BF148" i="3"/>
  <c r="BE62" i="3"/>
  <c r="BF62" i="3" s="1"/>
  <c r="BD162" i="3"/>
  <c r="BC20" i="3"/>
  <c r="BD20" i="3" s="1"/>
  <c r="BB120" i="3"/>
  <c r="BC25" i="3"/>
  <c r="BD25" i="3" s="1"/>
  <c r="BB125" i="3"/>
  <c r="BE58" i="3"/>
  <c r="BF58" i="3" s="1"/>
  <c r="BD158" i="3"/>
  <c r="BC19" i="3"/>
  <c r="BD19" i="3" s="1"/>
  <c r="BB119" i="3"/>
  <c r="BC30" i="3"/>
  <c r="BD30" i="3" s="1"/>
  <c r="BB130" i="3"/>
  <c r="BC36" i="3"/>
  <c r="BD36" i="3" s="1"/>
  <c r="BB136" i="3"/>
  <c r="BC31" i="3"/>
  <c r="BD31" i="3" s="1"/>
  <c r="BB131" i="3"/>
  <c r="BC15" i="3"/>
  <c r="BD15" i="3" s="1"/>
  <c r="BB115" i="3"/>
  <c r="BE56" i="3"/>
  <c r="BF56" i="3" s="1"/>
  <c r="BD156" i="3"/>
  <c r="BC8" i="3"/>
  <c r="BD8" i="3" s="1"/>
  <c r="BB108" i="3"/>
  <c r="BC24" i="3"/>
  <c r="BD24" i="3" s="1"/>
  <c r="BB124" i="3"/>
  <c r="BC35" i="3"/>
  <c r="BD35" i="3" s="1"/>
  <c r="BB135" i="3"/>
  <c r="BE68" i="3"/>
  <c r="BF68" i="3" s="1"/>
  <c r="BD168" i="3"/>
  <c r="BE70" i="3"/>
  <c r="BF70" i="3" s="1"/>
  <c r="BE60" i="3"/>
  <c r="BF60" i="3" s="1"/>
  <c r="BD160" i="3"/>
  <c r="BF142" i="3"/>
  <c r="BC10" i="3"/>
  <c r="BD10" i="3" s="1"/>
  <c r="BB110" i="3"/>
  <c r="BE48" i="3"/>
  <c r="BF48" i="3" s="1"/>
  <c r="BD148" i="3"/>
  <c r="AB186" i="3" l="1"/>
  <c r="BF24" i="4"/>
  <c r="BG24" i="4" s="1"/>
  <c r="BE124" i="4"/>
  <c r="BF17" i="4"/>
  <c r="BG17" i="4" s="1"/>
  <c r="BE117" i="4"/>
  <c r="BF18" i="4"/>
  <c r="BG18" i="4" s="1"/>
  <c r="BE118" i="4"/>
  <c r="BF62" i="4"/>
  <c r="BG62" i="4" s="1"/>
  <c r="BE162" i="4"/>
  <c r="BF52" i="4"/>
  <c r="BG52" i="4" s="1"/>
  <c r="BE152" i="4"/>
  <c r="BF33" i="4"/>
  <c r="BG33" i="4" s="1"/>
  <c r="BE133" i="4"/>
  <c r="BH38" i="4"/>
  <c r="BI38" i="4" s="1"/>
  <c r="BI137" i="4" s="1"/>
  <c r="BG138" i="4"/>
  <c r="BF28" i="4"/>
  <c r="BG28" i="4" s="1"/>
  <c r="BE128" i="4"/>
  <c r="BF44" i="4"/>
  <c r="BG44" i="4" s="1"/>
  <c r="BE144" i="4"/>
  <c r="BF32" i="4"/>
  <c r="BG32" i="4" s="1"/>
  <c r="BE132" i="4"/>
  <c r="BF22" i="4"/>
  <c r="BG22" i="4" s="1"/>
  <c r="BE122" i="4"/>
  <c r="BF42" i="4"/>
  <c r="BG42" i="4" s="1"/>
  <c r="BE142" i="4"/>
  <c r="BH40" i="4"/>
  <c r="BI40" i="4" s="1"/>
  <c r="BI139" i="4" s="1"/>
  <c r="BG140" i="4"/>
  <c r="BF26" i="4"/>
  <c r="BG26" i="4" s="1"/>
  <c r="BE126" i="4"/>
  <c r="BF35" i="4"/>
  <c r="BG35" i="4" s="1"/>
  <c r="BE135" i="4"/>
  <c r="BF56" i="4"/>
  <c r="BG56" i="4" s="1"/>
  <c r="BE156" i="4"/>
  <c r="BF58" i="4"/>
  <c r="BG58" i="4" s="1"/>
  <c r="BE158" i="4"/>
  <c r="BF54" i="4"/>
  <c r="BG54" i="4" s="1"/>
  <c r="BE154" i="4"/>
  <c r="BF12" i="4"/>
  <c r="BG12" i="4" s="1"/>
  <c r="BE112" i="4"/>
  <c r="BF48" i="4"/>
  <c r="BG48" i="4" s="1"/>
  <c r="BE148" i="4"/>
  <c r="BF31" i="4"/>
  <c r="BG31" i="4" s="1"/>
  <c r="BE131" i="4"/>
  <c r="BF66" i="4"/>
  <c r="BG66" i="4" s="1"/>
  <c r="BE166" i="4"/>
  <c r="BF68" i="4"/>
  <c r="BG68" i="4" s="1"/>
  <c r="BF23" i="4"/>
  <c r="BG23" i="4" s="1"/>
  <c r="BE123" i="4"/>
  <c r="BF25" i="4"/>
  <c r="BG25" i="4" s="1"/>
  <c r="BE125" i="4"/>
  <c r="BF40" i="4"/>
  <c r="BG40" i="4" s="1"/>
  <c r="BE140" i="4"/>
  <c r="BF30" i="4"/>
  <c r="BG30" i="4" s="1"/>
  <c r="BE130" i="4"/>
  <c r="BF21" i="4"/>
  <c r="BG21" i="4" s="1"/>
  <c r="BE121" i="4"/>
  <c r="BF64" i="4"/>
  <c r="BG64" i="4" s="1"/>
  <c r="BE164" i="4"/>
  <c r="BG136" i="4"/>
  <c r="BF27" i="4"/>
  <c r="BG27" i="4" s="1"/>
  <c r="BE127" i="4"/>
  <c r="BF13" i="4"/>
  <c r="BG13" i="4" s="1"/>
  <c r="BE113" i="4"/>
  <c r="BF34" i="4"/>
  <c r="BG34" i="4" s="1"/>
  <c r="BE134" i="4"/>
  <c r="BF60" i="4"/>
  <c r="BG60" i="4" s="1"/>
  <c r="BE160" i="4"/>
  <c r="BF15" i="4"/>
  <c r="BG15" i="4" s="1"/>
  <c r="BE115" i="4"/>
  <c r="BF36" i="4"/>
  <c r="BG36" i="4" s="1"/>
  <c r="BE136" i="4"/>
  <c r="BF20" i="4"/>
  <c r="BG20" i="4" s="1"/>
  <c r="BE120" i="4"/>
  <c r="BF50" i="4"/>
  <c r="BG50" i="4" s="1"/>
  <c r="BE150" i="4"/>
  <c r="BF14" i="4"/>
  <c r="BG14" i="4" s="1"/>
  <c r="BE114" i="4"/>
  <c r="BF16" i="4"/>
  <c r="BG16" i="4" s="1"/>
  <c r="BE116" i="4"/>
  <c r="BF11" i="4"/>
  <c r="BG11" i="4" s="1"/>
  <c r="BE111" i="4"/>
  <c r="BF9" i="4"/>
  <c r="BG9" i="4" s="1"/>
  <c r="BE109" i="4"/>
  <c r="BF19" i="4"/>
  <c r="BG19" i="4" s="1"/>
  <c r="BE119" i="4"/>
  <c r="BF6" i="4"/>
  <c r="BG6" i="4" s="1"/>
  <c r="BG105" i="4" s="1"/>
  <c r="BE106" i="4"/>
  <c r="BF7" i="4"/>
  <c r="BG7" i="4" s="1"/>
  <c r="BE107" i="4"/>
  <c r="BF29" i="4"/>
  <c r="BG29" i="4" s="1"/>
  <c r="BE129" i="4"/>
  <c r="BF38" i="4"/>
  <c r="BG38" i="4" s="1"/>
  <c r="BE138" i="4"/>
  <c r="BF46" i="4"/>
  <c r="BG46" i="4" s="1"/>
  <c r="BE146" i="4"/>
  <c r="BF10" i="4"/>
  <c r="BG10" i="4" s="1"/>
  <c r="BE110" i="4"/>
  <c r="BF8" i="4"/>
  <c r="BG8" i="4" s="1"/>
  <c r="BE108" i="4"/>
  <c r="BF145" i="3"/>
  <c r="BE38" i="3"/>
  <c r="BF38" i="3" s="1"/>
  <c r="BD138" i="3"/>
  <c r="BE20" i="3"/>
  <c r="BF20" i="3" s="1"/>
  <c r="BD120" i="3"/>
  <c r="BE40" i="3"/>
  <c r="BF40" i="3" s="1"/>
  <c r="BD140" i="3"/>
  <c r="BE13" i="3"/>
  <c r="BF13" i="3" s="1"/>
  <c r="BD113" i="3"/>
  <c r="BE36" i="3"/>
  <c r="BF36" i="3" s="1"/>
  <c r="BD136" i="3"/>
  <c r="BE22" i="3"/>
  <c r="BF22" i="3" s="1"/>
  <c r="BD122" i="3"/>
  <c r="BE27" i="3"/>
  <c r="BF27" i="3" s="1"/>
  <c r="BD127" i="3"/>
  <c r="BG47" i="3"/>
  <c r="BH47" i="3" s="1"/>
  <c r="BH146" i="3" s="1"/>
  <c r="BF147" i="3"/>
  <c r="BG55" i="3"/>
  <c r="BH55" i="3" s="1"/>
  <c r="BH154" i="3" s="1"/>
  <c r="BF155" i="3"/>
  <c r="BE14" i="3"/>
  <c r="BF14" i="3" s="1"/>
  <c r="BD114" i="3"/>
  <c r="BE10" i="3"/>
  <c r="BF10" i="3" s="1"/>
  <c r="BD110" i="3"/>
  <c r="BG69" i="3"/>
  <c r="BH69" i="3" s="1"/>
  <c r="BH168" i="3" s="1"/>
  <c r="BF169" i="3"/>
  <c r="BG71" i="3"/>
  <c r="BH71" i="3" s="1"/>
  <c r="BH170" i="3" s="1"/>
  <c r="BE35" i="3"/>
  <c r="BF35" i="3" s="1"/>
  <c r="BD135" i="3"/>
  <c r="BG63" i="3"/>
  <c r="BH63" i="3" s="1"/>
  <c r="BH162" i="3" s="1"/>
  <c r="BF163" i="3"/>
  <c r="BE8" i="3"/>
  <c r="BF8" i="3" s="1"/>
  <c r="BD108" i="3"/>
  <c r="BE16" i="3"/>
  <c r="BF16" i="3" s="1"/>
  <c r="BD116" i="3"/>
  <c r="BE19" i="3"/>
  <c r="BF19" i="3" s="1"/>
  <c r="BD119" i="3"/>
  <c r="BG53" i="3"/>
  <c r="BH53" i="3" s="1"/>
  <c r="BH152" i="3" s="1"/>
  <c r="BF153" i="3"/>
  <c r="BE28" i="3"/>
  <c r="BF28" i="3" s="1"/>
  <c r="BD128" i="3"/>
  <c r="BE17" i="3"/>
  <c r="BF17" i="3" s="1"/>
  <c r="BD117" i="3"/>
  <c r="BE44" i="3"/>
  <c r="BF44" i="3" s="1"/>
  <c r="BD144" i="3"/>
  <c r="BE9" i="3"/>
  <c r="BF9" i="3" s="1"/>
  <c r="BD109" i="3"/>
  <c r="BE26" i="3"/>
  <c r="BF26" i="3" s="1"/>
  <c r="BD126" i="3"/>
  <c r="BE24" i="3"/>
  <c r="BF24" i="3" s="1"/>
  <c r="BD124" i="3"/>
  <c r="BG59" i="3"/>
  <c r="BH59" i="3" s="1"/>
  <c r="BH158" i="3" s="1"/>
  <c r="BF159" i="3"/>
  <c r="BE42" i="3"/>
  <c r="BF42" i="3" s="1"/>
  <c r="BD142" i="3"/>
  <c r="BG65" i="3"/>
  <c r="BH65" i="3" s="1"/>
  <c r="BH164" i="3" s="1"/>
  <c r="BF165" i="3"/>
  <c r="BE7" i="3"/>
  <c r="BF7" i="3" s="1"/>
  <c r="BD107" i="3"/>
  <c r="BE39" i="3"/>
  <c r="BF39" i="3" s="1"/>
  <c r="BD139" i="3"/>
  <c r="BE41" i="3"/>
  <c r="BF41" i="3" s="1"/>
  <c r="BG61" i="3"/>
  <c r="BH61" i="3" s="1"/>
  <c r="BH160" i="3" s="1"/>
  <c r="BF161" i="3"/>
  <c r="BE30" i="3"/>
  <c r="BF30" i="3" s="1"/>
  <c r="BD130" i="3"/>
  <c r="BE34" i="3"/>
  <c r="BF34" i="3" s="1"/>
  <c r="BD134" i="3"/>
  <c r="BE18" i="3"/>
  <c r="BF18" i="3" s="1"/>
  <c r="BD118" i="3"/>
  <c r="BE21" i="3"/>
  <c r="BF21" i="3" s="1"/>
  <c r="BD121" i="3"/>
  <c r="BE6" i="3"/>
  <c r="BF6" i="3" s="1"/>
  <c r="BF105" i="3" s="1"/>
  <c r="BD106" i="3"/>
  <c r="BE25" i="3"/>
  <c r="BF25" i="3" s="1"/>
  <c r="BD125" i="3"/>
  <c r="BE29" i="3"/>
  <c r="BF29" i="3" s="1"/>
  <c r="BD129" i="3"/>
  <c r="BE11" i="3"/>
  <c r="BF11" i="3" s="1"/>
  <c r="BD111" i="3"/>
  <c r="BE12" i="3"/>
  <c r="BF12" i="3" s="1"/>
  <c r="BD112" i="3"/>
  <c r="BE33" i="3"/>
  <c r="BF33" i="3" s="1"/>
  <c r="BD133" i="3"/>
  <c r="BE15" i="3"/>
  <c r="BF15" i="3" s="1"/>
  <c r="BD115" i="3"/>
  <c r="BG67" i="3"/>
  <c r="BH67" i="3" s="1"/>
  <c r="BH166" i="3" s="1"/>
  <c r="BF167" i="3"/>
  <c r="BE23" i="3"/>
  <c r="BF23" i="3" s="1"/>
  <c r="BD123" i="3"/>
  <c r="BG57" i="3"/>
  <c r="BH57" i="3" s="1"/>
  <c r="BH156" i="3" s="1"/>
  <c r="BF157" i="3"/>
  <c r="BE31" i="3"/>
  <c r="BF31" i="3" s="1"/>
  <c r="BD131" i="3"/>
  <c r="BG51" i="3"/>
  <c r="BH51" i="3" s="1"/>
  <c r="BH150" i="3" s="1"/>
  <c r="BF151" i="3"/>
  <c r="BE37" i="3"/>
  <c r="BF37" i="3" s="1"/>
  <c r="BD137" i="3"/>
  <c r="BG49" i="3"/>
  <c r="BH49" i="3" s="1"/>
  <c r="BH148" i="3" s="1"/>
  <c r="BF149" i="3"/>
  <c r="BE32" i="3"/>
  <c r="BF32" i="3" s="1"/>
  <c r="BD132" i="3"/>
  <c r="AC186" i="3" l="1"/>
  <c r="BH45" i="4"/>
  <c r="BI45" i="4" s="1"/>
  <c r="BI144" i="4" s="1"/>
  <c r="BG145" i="4"/>
  <c r="BH15" i="4"/>
  <c r="BI15" i="4" s="1"/>
  <c r="BI114" i="4" s="1"/>
  <c r="BG115" i="4"/>
  <c r="BH12" i="4"/>
  <c r="BI12" i="4" s="1"/>
  <c r="BI111" i="4" s="1"/>
  <c r="BG112" i="4"/>
  <c r="BH22" i="4"/>
  <c r="BI22" i="4" s="1"/>
  <c r="BI121" i="4" s="1"/>
  <c r="BG122" i="4"/>
  <c r="BH10" i="4"/>
  <c r="BI10" i="4" s="1"/>
  <c r="BI109" i="4" s="1"/>
  <c r="BG110" i="4"/>
  <c r="BH67" i="4"/>
  <c r="BI67" i="4" s="1"/>
  <c r="BI166" i="4" s="1"/>
  <c r="BG167" i="4"/>
  <c r="BH69" i="4"/>
  <c r="BI69" i="4" s="1"/>
  <c r="BI168" i="4" s="1"/>
  <c r="BH34" i="4"/>
  <c r="BI34" i="4" s="1"/>
  <c r="BI133" i="4" s="1"/>
  <c r="BG134" i="4"/>
  <c r="BH26" i="4"/>
  <c r="BI26" i="4" s="1"/>
  <c r="BI125" i="4" s="1"/>
  <c r="BG126" i="4"/>
  <c r="BH65" i="4"/>
  <c r="BI65" i="4" s="1"/>
  <c r="BI164" i="4" s="1"/>
  <c r="BG165" i="4"/>
  <c r="BH25" i="4"/>
  <c r="BI25" i="4" s="1"/>
  <c r="BI124" i="4" s="1"/>
  <c r="BG125" i="4"/>
  <c r="BH32" i="4"/>
  <c r="BI32" i="4" s="1"/>
  <c r="BI131" i="4" s="1"/>
  <c r="BG132" i="4"/>
  <c r="BH33" i="4"/>
  <c r="BI33" i="4" s="1"/>
  <c r="BI132" i="4" s="1"/>
  <c r="BG133" i="4"/>
  <c r="BH28" i="4"/>
  <c r="BI28" i="4" s="1"/>
  <c r="BI127" i="4" s="1"/>
  <c r="BG128" i="4"/>
  <c r="BH49" i="4"/>
  <c r="BI49" i="4" s="1"/>
  <c r="BI148" i="4" s="1"/>
  <c r="BG149" i="4"/>
  <c r="BH36" i="4"/>
  <c r="BI36" i="4" s="1"/>
  <c r="BI135" i="4" s="1"/>
  <c r="BH37" i="4"/>
  <c r="BI37" i="4" s="1"/>
  <c r="BI136" i="4" s="1"/>
  <c r="BG137" i="4"/>
  <c r="BH30" i="4"/>
  <c r="BI30" i="4" s="1"/>
  <c r="BI129" i="4" s="1"/>
  <c r="BG130" i="4"/>
  <c r="BH51" i="4"/>
  <c r="BI51" i="4" s="1"/>
  <c r="BI150" i="4" s="1"/>
  <c r="BG151" i="4"/>
  <c r="BH27" i="4"/>
  <c r="BI27" i="4" s="1"/>
  <c r="BI126" i="4" s="1"/>
  <c r="BG127" i="4"/>
  <c r="BH6" i="4"/>
  <c r="BI6" i="4" s="1"/>
  <c r="BI105" i="4" s="1"/>
  <c r="BG106" i="4"/>
  <c r="BH19" i="4"/>
  <c r="BI19" i="4" s="1"/>
  <c r="BI118" i="4" s="1"/>
  <c r="BG119" i="4"/>
  <c r="BH63" i="4"/>
  <c r="BI63" i="4" s="1"/>
  <c r="BI162" i="4" s="1"/>
  <c r="BG163" i="4"/>
  <c r="BH47" i="4"/>
  <c r="BI47" i="4" s="1"/>
  <c r="BI146" i="4" s="1"/>
  <c r="BG147" i="4"/>
  <c r="BH41" i="4"/>
  <c r="BI41" i="4" s="1"/>
  <c r="BI140" i="4" s="1"/>
  <c r="BG141" i="4"/>
  <c r="BH61" i="4"/>
  <c r="BI61" i="4" s="1"/>
  <c r="BI160" i="4" s="1"/>
  <c r="BG161" i="4"/>
  <c r="BH35" i="4"/>
  <c r="BI35" i="4" s="1"/>
  <c r="BI134" i="4" s="1"/>
  <c r="BG135" i="4"/>
  <c r="BH20" i="4"/>
  <c r="BI20" i="4" s="1"/>
  <c r="BI119" i="4" s="1"/>
  <c r="BG120" i="4"/>
  <c r="BH11" i="4"/>
  <c r="BI11" i="4" s="1"/>
  <c r="BI110" i="4" s="1"/>
  <c r="BG111" i="4"/>
  <c r="BH21" i="4"/>
  <c r="BI21" i="4" s="1"/>
  <c r="BI120" i="4" s="1"/>
  <c r="BG121" i="4"/>
  <c r="BH17" i="4"/>
  <c r="BI17" i="4" s="1"/>
  <c r="BI116" i="4" s="1"/>
  <c r="BG117" i="4"/>
  <c r="BH24" i="4"/>
  <c r="BI24" i="4" s="1"/>
  <c r="BI123" i="4" s="1"/>
  <c r="BG124" i="4"/>
  <c r="BH18" i="4"/>
  <c r="BI18" i="4" s="1"/>
  <c r="BI117" i="4" s="1"/>
  <c r="BG118" i="4"/>
  <c r="BH14" i="4"/>
  <c r="BI14" i="4" s="1"/>
  <c r="BI113" i="4" s="1"/>
  <c r="BG114" i="4"/>
  <c r="BH29" i="4"/>
  <c r="BI29" i="4" s="1"/>
  <c r="BI128" i="4" s="1"/>
  <c r="BG129" i="4"/>
  <c r="BH16" i="4"/>
  <c r="BI16" i="4" s="1"/>
  <c r="BI115" i="4" s="1"/>
  <c r="BG116" i="4"/>
  <c r="BH31" i="4"/>
  <c r="BI31" i="4" s="1"/>
  <c r="BI130" i="4" s="1"/>
  <c r="BG131" i="4"/>
  <c r="BH7" i="4"/>
  <c r="BI7" i="4" s="1"/>
  <c r="BI106" i="4" s="1"/>
  <c r="BG107" i="4"/>
  <c r="BH8" i="4"/>
  <c r="BI8" i="4" s="1"/>
  <c r="BI107" i="4" s="1"/>
  <c r="BG108" i="4"/>
  <c r="BH59" i="4"/>
  <c r="BI59" i="4" s="1"/>
  <c r="BI158" i="4" s="1"/>
  <c r="BG159" i="4"/>
  <c r="BH39" i="4"/>
  <c r="BI39" i="4" s="1"/>
  <c r="BI138" i="4" s="1"/>
  <c r="BG139" i="4"/>
  <c r="BH9" i="4"/>
  <c r="BI9" i="4" s="1"/>
  <c r="BI108" i="4" s="1"/>
  <c r="BG109" i="4"/>
  <c r="BH55" i="4"/>
  <c r="BI55" i="4" s="1"/>
  <c r="BI154" i="4" s="1"/>
  <c r="BG155" i="4"/>
  <c r="BH13" i="4"/>
  <c r="BI13" i="4" s="1"/>
  <c r="BI112" i="4" s="1"/>
  <c r="BG113" i="4"/>
  <c r="BH53" i="4"/>
  <c r="BI53" i="4" s="1"/>
  <c r="BI152" i="4" s="1"/>
  <c r="BG153" i="4"/>
  <c r="BH57" i="4"/>
  <c r="BI57" i="4" s="1"/>
  <c r="BI156" i="4" s="1"/>
  <c r="BG157" i="4"/>
  <c r="BH43" i="4"/>
  <c r="BI43" i="4" s="1"/>
  <c r="BI142" i="4" s="1"/>
  <c r="BG143" i="4"/>
  <c r="BH23" i="4"/>
  <c r="BI23" i="4" s="1"/>
  <c r="BI122" i="4" s="1"/>
  <c r="BG123" i="4"/>
  <c r="BG40" i="3"/>
  <c r="BH40" i="3" s="1"/>
  <c r="BH139" i="3" s="1"/>
  <c r="BF140" i="3"/>
  <c r="BG42" i="3"/>
  <c r="BH42" i="3" s="1"/>
  <c r="BH141" i="3" s="1"/>
  <c r="BG8" i="3"/>
  <c r="BH8" i="3" s="1"/>
  <c r="BH107" i="3" s="1"/>
  <c r="BF108" i="3"/>
  <c r="BG21" i="3"/>
  <c r="BH21" i="3" s="1"/>
  <c r="BH120" i="3" s="1"/>
  <c r="BF121" i="3"/>
  <c r="BG34" i="3"/>
  <c r="BH34" i="3" s="1"/>
  <c r="BH133" i="3" s="1"/>
  <c r="BF134" i="3"/>
  <c r="BG10" i="3"/>
  <c r="BH10" i="3" s="1"/>
  <c r="BH109" i="3" s="1"/>
  <c r="BF110" i="3"/>
  <c r="BG24" i="3"/>
  <c r="BH24" i="3" s="1"/>
  <c r="BH123" i="3" s="1"/>
  <c r="BF124" i="3"/>
  <c r="BG35" i="3"/>
  <c r="BH35" i="3" s="1"/>
  <c r="BH134" i="3" s="1"/>
  <c r="BF135" i="3"/>
  <c r="BG22" i="3"/>
  <c r="BH22" i="3" s="1"/>
  <c r="BH121" i="3" s="1"/>
  <c r="BF122" i="3"/>
  <c r="BG6" i="3"/>
  <c r="BH6" i="3" s="1"/>
  <c r="BH105" i="3" s="1"/>
  <c r="BF106" i="3"/>
  <c r="BG16" i="3"/>
  <c r="BH16" i="3" s="1"/>
  <c r="BH115" i="3" s="1"/>
  <c r="BF116" i="3"/>
  <c r="BG12" i="3"/>
  <c r="BH12" i="3" s="1"/>
  <c r="BH111" i="3" s="1"/>
  <c r="BF112" i="3"/>
  <c r="BG28" i="3"/>
  <c r="BH28" i="3" s="1"/>
  <c r="BH127" i="3" s="1"/>
  <c r="BF128" i="3"/>
  <c r="BG27" i="3"/>
  <c r="BH27" i="3" s="1"/>
  <c r="BH126" i="3" s="1"/>
  <c r="BF127" i="3"/>
  <c r="BG9" i="3"/>
  <c r="BH9" i="3" s="1"/>
  <c r="BH108" i="3" s="1"/>
  <c r="BF109" i="3"/>
  <c r="BG39" i="3"/>
  <c r="BH39" i="3" s="1"/>
  <c r="BH138" i="3" s="1"/>
  <c r="BF139" i="3"/>
  <c r="BG30" i="3"/>
  <c r="BH30" i="3" s="1"/>
  <c r="BH129" i="3" s="1"/>
  <c r="BF130" i="3"/>
  <c r="BG43" i="3"/>
  <c r="BH43" i="3" s="1"/>
  <c r="BH142" i="3" s="1"/>
  <c r="BF143" i="3"/>
  <c r="BG31" i="3"/>
  <c r="BH31" i="3" s="1"/>
  <c r="BH130" i="3" s="1"/>
  <c r="BF131" i="3"/>
  <c r="BG14" i="3"/>
  <c r="BH14" i="3" s="1"/>
  <c r="BH113" i="3" s="1"/>
  <c r="BF114" i="3"/>
  <c r="BG41" i="3"/>
  <c r="BH41" i="3" s="1"/>
  <c r="BH140" i="3" s="1"/>
  <c r="BF141" i="3"/>
  <c r="BG17" i="3"/>
  <c r="BH17" i="3" s="1"/>
  <c r="BH116" i="3" s="1"/>
  <c r="BF117" i="3"/>
  <c r="BG13" i="3"/>
  <c r="BH13" i="3" s="1"/>
  <c r="BH112" i="3" s="1"/>
  <c r="BF113" i="3"/>
  <c r="BG19" i="3"/>
  <c r="BH19" i="3" s="1"/>
  <c r="BH118" i="3" s="1"/>
  <c r="BF119" i="3"/>
  <c r="BG26" i="3"/>
  <c r="BH26" i="3" s="1"/>
  <c r="BH125" i="3" s="1"/>
  <c r="BF126" i="3"/>
  <c r="BG18" i="3"/>
  <c r="BH18" i="3" s="1"/>
  <c r="BH117" i="3" s="1"/>
  <c r="BF118" i="3"/>
  <c r="BG32" i="3"/>
  <c r="BH32" i="3" s="1"/>
  <c r="BH131" i="3" s="1"/>
  <c r="BF132" i="3"/>
  <c r="BG33" i="3"/>
  <c r="BH33" i="3" s="1"/>
  <c r="BH132" i="3" s="1"/>
  <c r="BF133" i="3"/>
  <c r="BG37" i="3"/>
  <c r="BH37" i="3" s="1"/>
  <c r="BH136" i="3" s="1"/>
  <c r="BF137" i="3"/>
  <c r="BG25" i="3"/>
  <c r="BH25" i="3" s="1"/>
  <c r="BH124" i="3" s="1"/>
  <c r="BF125" i="3"/>
  <c r="BG20" i="3"/>
  <c r="BH20" i="3" s="1"/>
  <c r="BH119" i="3" s="1"/>
  <c r="BF120" i="3"/>
  <c r="BG36" i="3"/>
  <c r="BH36" i="3" s="1"/>
  <c r="BH135" i="3" s="1"/>
  <c r="BF136" i="3"/>
  <c r="BG23" i="3"/>
  <c r="BH23" i="3" s="1"/>
  <c r="BH122" i="3" s="1"/>
  <c r="BF123" i="3"/>
  <c r="BG15" i="3"/>
  <c r="BH15" i="3" s="1"/>
  <c r="BH114" i="3" s="1"/>
  <c r="BF115" i="3"/>
  <c r="BG7" i="3"/>
  <c r="BH7" i="3" s="1"/>
  <c r="BH106" i="3" s="1"/>
  <c r="BF107" i="3"/>
  <c r="BG38" i="3"/>
  <c r="BH38" i="3" s="1"/>
  <c r="BH137" i="3" s="1"/>
  <c r="BF138" i="3"/>
  <c r="BG11" i="3"/>
  <c r="BH11" i="3" s="1"/>
  <c r="BH110" i="3" s="1"/>
  <c r="BF111" i="3"/>
  <c r="BG29" i="3"/>
  <c r="BH29" i="3" s="1"/>
  <c r="BH128" i="3" s="1"/>
  <c r="BF129" i="3"/>
  <c r="BG45" i="3"/>
  <c r="BH45" i="3" s="1"/>
  <c r="BH144" i="3" s="1"/>
  <c r="AD186" i="3" l="1"/>
  <c r="AE186" i="3"/>
</calcChain>
</file>

<file path=xl/sharedStrings.xml><?xml version="1.0" encoding="utf-8"?>
<sst xmlns="http://schemas.openxmlformats.org/spreadsheetml/2006/main" count="483" uniqueCount="84">
  <si>
    <t xml:space="preserve">Materials </t>
  </si>
  <si>
    <r>
      <t>m - content (kg/m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</si>
  <si>
    <r>
      <t xml:space="preserve">c - Specific heat (kcal/kg* </t>
    </r>
    <r>
      <rPr>
        <vertAlign val="superscript"/>
        <sz val="11"/>
        <color theme="1"/>
        <rFont val="Aptos Narrow"/>
        <family val="2"/>
        <scheme val="minor"/>
      </rPr>
      <t>o</t>
    </r>
    <r>
      <rPr>
        <sz val="11"/>
        <color theme="1"/>
        <rFont val="Aptos Narrow"/>
        <family val="2"/>
        <scheme val="minor"/>
      </rPr>
      <t>C)</t>
    </r>
  </si>
  <si>
    <r>
      <t>q= m*c(kcal/m</t>
    </r>
    <r>
      <rPr>
        <vertAlign val="superscript"/>
        <sz val="11"/>
        <color theme="1"/>
        <rFont val="Aptos Narrow"/>
        <family val="2"/>
        <scheme val="minor"/>
      </rPr>
      <t xml:space="preserve">3 </t>
    </r>
    <r>
      <rPr>
        <sz val="11"/>
        <color theme="1"/>
        <rFont val="Aptos Narrow"/>
        <family val="2"/>
        <scheme val="minor"/>
      </rPr>
      <t>*C)</t>
    </r>
  </si>
  <si>
    <t>Temparature (C)</t>
  </si>
  <si>
    <t>∆t</t>
  </si>
  <si>
    <t>Q= q*∆t (kcal/C)</t>
  </si>
  <si>
    <t>Ti</t>
  </si>
  <si>
    <t>Tf</t>
  </si>
  <si>
    <t>Cement</t>
  </si>
  <si>
    <t>Sand</t>
  </si>
  <si>
    <t xml:space="preserve"> </t>
  </si>
  <si>
    <t>Course Aggregate</t>
  </si>
  <si>
    <t>Water</t>
  </si>
  <si>
    <t>Humidity Sand</t>
  </si>
  <si>
    <t>Humidity course</t>
  </si>
  <si>
    <t>Ice</t>
  </si>
  <si>
    <t>Ice fusion</t>
  </si>
  <si>
    <t>Ice-water</t>
  </si>
  <si>
    <t>Q mix</t>
  </si>
  <si>
    <t xml:space="preserve">q summation </t>
  </si>
  <si>
    <t>Q summation</t>
  </si>
  <si>
    <t xml:space="preserve">Temparature at mixture </t>
  </si>
  <si>
    <t>Temparature Rise(Transportation-C)</t>
  </si>
  <si>
    <t>Placing Temparature</t>
  </si>
  <si>
    <t>Time (days)</t>
  </si>
  <si>
    <r>
      <t>Adiabatic rise (C) for 223kg/m</t>
    </r>
    <r>
      <rPr>
        <vertAlign val="superscript"/>
        <sz val="11"/>
        <color theme="1"/>
        <rFont val="Aptos Narrow"/>
        <family val="2"/>
        <scheme val="minor"/>
      </rPr>
      <t>3</t>
    </r>
  </si>
  <si>
    <r>
      <t>∆ Adiabatic Rise (C) for 406kg/m</t>
    </r>
    <r>
      <rPr>
        <vertAlign val="superscript"/>
        <sz val="11"/>
        <color theme="1"/>
        <rFont val="Calibri"/>
        <family val="2"/>
      </rPr>
      <t>3</t>
    </r>
  </si>
  <si>
    <t>ACI 207.1R-96</t>
  </si>
  <si>
    <t>Tempreture</t>
  </si>
  <si>
    <t xml:space="preserve">strcuture </t>
  </si>
  <si>
    <t>Concrete Lift</t>
  </si>
  <si>
    <t xml:space="preserve">Height </t>
  </si>
  <si>
    <t>∆ Temp (C)</t>
  </si>
  <si>
    <t>∆ Temp (C) (1st)</t>
  </si>
  <si>
    <t>Concrete Block</t>
  </si>
  <si>
    <t>Lift</t>
  </si>
  <si>
    <t>Soil</t>
  </si>
  <si>
    <t>α =</t>
  </si>
  <si>
    <t>t (Days)</t>
  </si>
  <si>
    <t>Ec</t>
  </si>
  <si>
    <t>Ambieant Temp. (C)</t>
  </si>
  <si>
    <t>L=</t>
  </si>
  <si>
    <t>m</t>
  </si>
  <si>
    <t xml:space="preserve">L/H = </t>
  </si>
  <si>
    <t>W=</t>
  </si>
  <si>
    <t>Ef=</t>
  </si>
  <si>
    <t>H=</t>
  </si>
  <si>
    <t>Ac=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</si>
  <si>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</si>
  <si>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t>Af=</t>
  </si>
  <si>
    <t>Kr=</t>
  </si>
  <si>
    <t>Kf=</t>
  </si>
  <si>
    <t>Kt=</t>
  </si>
  <si>
    <t>Creep =</t>
  </si>
  <si>
    <t>s</t>
  </si>
  <si>
    <t>Placing temp. (C)</t>
  </si>
  <si>
    <t>Stress</t>
  </si>
  <si>
    <t>∆ Temp (C) (2nd)</t>
  </si>
  <si>
    <t>T (Days)</t>
  </si>
  <si>
    <t xml:space="preserve">Thermal stress </t>
  </si>
  <si>
    <t xml:space="preserve">Hieght </t>
  </si>
  <si>
    <t>Second Lift</t>
  </si>
  <si>
    <t>First Lift</t>
  </si>
  <si>
    <t>Stresses</t>
  </si>
  <si>
    <t>Mechanical strength- (CEB FIB)</t>
  </si>
  <si>
    <t>t</t>
  </si>
  <si>
    <t>28/t</t>
  </si>
  <si>
    <t>√</t>
  </si>
  <si>
    <t>1-√</t>
  </si>
  <si>
    <t>s*1-v</t>
  </si>
  <si>
    <t>exp(s*1-v)</t>
  </si>
  <si>
    <t>strength</t>
  </si>
  <si>
    <t>fcm(Mpa)</t>
  </si>
  <si>
    <t>power of (2/3)</t>
  </si>
  <si>
    <t>ftm(Mpa)</t>
  </si>
  <si>
    <t>ftm=fcm/10</t>
  </si>
  <si>
    <t>Power of (1/3)</t>
  </si>
  <si>
    <t>Ec0 ⋅ αE</t>
  </si>
  <si>
    <t>Ec (Mpa)</t>
  </si>
  <si>
    <t>Ambient T (C)</t>
  </si>
  <si>
    <t>Thermal Stress (1st LIft)</t>
  </si>
  <si>
    <t>Thermal Stress (2nd LIft)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</si>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</sst>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"/>
  </numFmts>
  <fonts count="5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4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4" borderId="4" xfId="0" applyFill="1" applyBorder="1"/>
    <xf numFmtId="0" fontId="0" fillId="4" borderId="0" xfId="0" applyFill="1" applyAlignment="1">
      <alignment horizontal="center"/>
    </xf>
    <xf numFmtId="164" fontId="0" fillId="4" borderId="0" xfId="0" applyNumberFormat="1" applyFill="1"/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9" borderId="1" xfId="0" applyFill="1" applyBorder="1"/>
    <xf numFmtId="165" fontId="0" fillId="0" borderId="1" xfId="0" applyNumberFormat="1" applyBorder="1"/>
    <xf numFmtId="165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  <xf numFmtId="0" fontId="0" fillId="7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/>
    <xf numFmtId="0" fontId="0" fillId="12" borderId="1" xfId="0" applyFill="1" applyBorder="1"/>
    <xf numFmtId="165" fontId="0" fillId="12" borderId="1" xfId="0" applyNumberFormat="1" applyFill="1" applyBorder="1"/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4" fillId="14" borderId="0" xfId="0" applyFont="1" applyFill="1"/>
    <xf numFmtId="0" fontId="0" fillId="14" borderId="0" xfId="0" applyFill="1"/>
    <xf numFmtId="0" fontId="0" fillId="15" borderId="3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164" fontId="0" fillId="14" borderId="0" xfId="0" applyNumberFormat="1" applyFill="1"/>
    <xf numFmtId="1" fontId="0" fillId="5" borderId="7" xfId="0" applyNumberFormat="1" applyFill="1" applyBorder="1" applyAlignment="1">
      <alignment horizontal="center" vertical="center"/>
    </xf>
    <xf numFmtId="1" fontId="0" fillId="5" borderId="8" xfId="0" applyNumberFormat="1" applyFill="1" applyBorder="1" applyAlignment="1">
      <alignment horizontal="center" vertical="center"/>
    </xf>
    <xf numFmtId="0" fontId="0" fillId="8" borderId="1" xfId="0" applyFill="1" applyBorder="1"/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/>
    <xf numFmtId="0" fontId="0" fillId="11" borderId="0" xfId="0" applyFill="1" applyAlignment="1">
      <alignment vertical="center"/>
    </xf>
    <xf numFmtId="166" fontId="0" fillId="0" borderId="0" xfId="0" applyNumberFormat="1"/>
    <xf numFmtId="167" fontId="0" fillId="0" borderId="0" xfId="0" applyNumberFormat="1"/>
    <xf numFmtId="0" fontId="0" fillId="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14" borderId="0" xfId="0" applyNumberFormat="1" applyFill="1"/>
    <xf numFmtId="0" fontId="0" fillId="19" borderId="1" xfId="0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'[1]Adieabatic Temperature Rise'!$D$4</c:f>
              <c:strCache>
                <c:ptCount val="1"/>
                <c:pt idx="0">
                  <c:v>∆ Adiabatic Rise (C) for 406kg/m3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'[1]Adieabatic Temperature Rise'!$B$5:$B$33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xVal>
          <c:yVal>
            <c:numRef>
              <c:f>'[1]Adieabatic Temperature Rise'!$D$5:$D$33</c:f>
              <c:numCache>
                <c:formatCode>General</c:formatCode>
                <c:ptCount val="29"/>
                <c:pt idx="0">
                  <c:v>0</c:v>
                </c:pt>
                <c:pt idx="1">
                  <c:v>16.385650224215247</c:v>
                </c:pt>
                <c:pt idx="2">
                  <c:v>20.026905829596412</c:v>
                </c:pt>
                <c:pt idx="3">
                  <c:v>24.032286995515694</c:v>
                </c:pt>
                <c:pt idx="4">
                  <c:v>25.306726457399105</c:v>
                </c:pt>
                <c:pt idx="5">
                  <c:v>26.945291479820629</c:v>
                </c:pt>
                <c:pt idx="6">
                  <c:v>28.583856502242153</c:v>
                </c:pt>
                <c:pt idx="7">
                  <c:v>30.04035874439462</c:v>
                </c:pt>
                <c:pt idx="8">
                  <c:v>30.76860986547085</c:v>
                </c:pt>
                <c:pt idx="9">
                  <c:v>31.678923766816141</c:v>
                </c:pt>
                <c:pt idx="10">
                  <c:v>32.407174887892374</c:v>
                </c:pt>
                <c:pt idx="11">
                  <c:v>32.771300448430495</c:v>
                </c:pt>
                <c:pt idx="12">
                  <c:v>33.408520179372196</c:v>
                </c:pt>
                <c:pt idx="13">
                  <c:v>34.227802690582962</c:v>
                </c:pt>
                <c:pt idx="14">
                  <c:v>35.502242152466366</c:v>
                </c:pt>
                <c:pt idx="15">
                  <c:v>36.412556053811656</c:v>
                </c:pt>
                <c:pt idx="16">
                  <c:v>36.95874439461884</c:v>
                </c:pt>
                <c:pt idx="17">
                  <c:v>37.322869955156953</c:v>
                </c:pt>
                <c:pt idx="18">
                  <c:v>37.86905829596413</c:v>
                </c:pt>
                <c:pt idx="19">
                  <c:v>38.05112107623318</c:v>
                </c:pt>
                <c:pt idx="20">
                  <c:v>38.233183856502244</c:v>
                </c:pt>
                <c:pt idx="21">
                  <c:v>38.779372197309421</c:v>
                </c:pt>
                <c:pt idx="22">
                  <c:v>39.052466367713002</c:v>
                </c:pt>
                <c:pt idx="23">
                  <c:v>39.325560538116591</c:v>
                </c:pt>
                <c:pt idx="24">
                  <c:v>39.507623318385647</c:v>
                </c:pt>
                <c:pt idx="25">
                  <c:v>39.689686098654711</c:v>
                </c:pt>
                <c:pt idx="26">
                  <c:v>39.871748878923768</c:v>
                </c:pt>
                <c:pt idx="27">
                  <c:v>39.962780269058293</c:v>
                </c:pt>
                <c:pt idx="28">
                  <c:v>40.053811659192824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DD-4F34-9545-DAA5A14BC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087200"/>
        <c:axId val="2110086368"/>
      </c:scatterChart>
      <c:valAx>
        <c:axId val="211008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(Days)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86368"/>
        <c:crosses val="autoZero"/>
        <c:crossBetween val="midCat"/>
      </c:valAx>
      <c:valAx>
        <c:axId val="211008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Adiabatic rise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08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'[1]Single Lift'!$C$186</c:f>
              <c:strCache>
                <c:ptCount val="1"/>
                <c:pt idx="0">
                  <c:v>Thermal stress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'[1]Single Lift'!$D$186:$AE$186</c:f>
              <c:numCache>
                <c:formatCode>General</c:formatCode>
                <c:ptCount val="28"/>
                <c:pt idx="0">
                  <c:v>8.5771817719368051E-2</c:v>
                </c:pt>
                <c:pt idx="1">
                  <c:v>0.35786268734318655</c:v>
                </c:pt>
                <c:pt idx="2">
                  <c:v>0.44155795665956793</c:v>
                </c:pt>
                <c:pt idx="3">
                  <c:v>0.48220467879862777</c:v>
                </c:pt>
                <c:pt idx="4">
                  <c:v>0.52241551125612096</c:v>
                </c:pt>
                <c:pt idx="5">
                  <c:v>0.55968834864019967</c:v>
                </c:pt>
                <c:pt idx="6">
                  <c:v>0.59243618785423291</c:v>
                </c:pt>
                <c:pt idx="7">
                  <c:v>0.61302025025826601</c:v>
                </c:pt>
                <c:pt idx="8">
                  <c:v>0.6350830709071883</c:v>
                </c:pt>
                <c:pt idx="9">
                  <c:v>0.65349122586830932</c:v>
                </c:pt>
                <c:pt idx="10">
                  <c:v>0.66556643143122407</c:v>
                </c:pt>
                <c:pt idx="11">
                  <c:v>0.68119748921373913</c:v>
                </c:pt>
                <c:pt idx="12">
                  <c:v>0.69918771376631095</c:v>
                </c:pt>
                <c:pt idx="13">
                  <c:v>0.72397761821340534</c:v>
                </c:pt>
                <c:pt idx="14">
                  <c:v>0.7427942441944575</c:v>
                </c:pt>
                <c:pt idx="15">
                  <c:v>0.7555784707708797</c:v>
                </c:pt>
                <c:pt idx="16">
                  <c:v>0.76519124387284898</c:v>
                </c:pt>
                <c:pt idx="17">
                  <c:v>0.77747869666688041</c:v>
                </c:pt>
                <c:pt idx="18">
                  <c:v>0.78369885187380361</c:v>
                </c:pt>
                <c:pt idx="19">
                  <c:v>0.78970458946194511</c:v>
                </c:pt>
                <c:pt idx="20">
                  <c:v>0.80144000304835106</c:v>
                </c:pt>
                <c:pt idx="21">
                  <c:v>0.80859233749328163</c:v>
                </c:pt>
                <c:pt idx="22">
                  <c:v>0.81560257071470355</c:v>
                </c:pt>
                <c:pt idx="23">
                  <c:v>0.82098961169309859</c:v>
                </c:pt>
                <c:pt idx="24">
                  <c:v>0.82625301255409933</c:v>
                </c:pt>
                <c:pt idx="25">
                  <c:v>0.83140131027810293</c:v>
                </c:pt>
                <c:pt idx="26">
                  <c:v>0.83494111011022276</c:v>
                </c:pt>
                <c:pt idx="27">
                  <c:v>0.83837612739673484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4-4239-B57A-33092A07B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938448"/>
        <c:axId val="6759360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'[1]Single Lift'!$C$185</c15:sqref>
                        </c15:formulaRef>
                      </c:ext>
                    </c:extLst>
                    <c:strCache>
                      <c:ptCount val="1"/>
                      <c:pt idx="0">
                        <c:v>T (Days)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</a:ln>
                  <a:effectLst>
                    <a:glow rad="139700">
                      <a:schemeClr val="accent1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'[1]Single Lift'!$D$185:$AE$185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8F04-4239-B57A-33092A07BE7F}"/>
                  </c:ext>
                </c:extLst>
              </c15:ser>
            </c15:filteredLineSeries>
          </c:ext>
        </c:extLst>
      </c:lineChart>
      <c:catAx>
        <c:axId val="6759384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936048"/>
        <c:crosses val="autoZero"/>
        <c:auto val="1"/>
        <c:lblAlgn val="ctr"/>
        <c:lblOffset val="100"/>
        <c:noMultiLvlLbl val="0"/>
      </c:catAx>
      <c:valAx>
        <c:axId val="6759360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938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1st</a:t>
            </a:r>
            <a:r>
              <a:rPr lang="en-ID" baseline="0"/>
              <a:t> Lift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'[1]Stress vs Strain Overtime'!$M$5</c:f>
              <c:strCache>
                <c:ptCount val="1"/>
                <c:pt idx="0">
                  <c:v>ftm=fcm/10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29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'Stress vs Strain Overtime'!$M$7:$M$34</c:f>
              <c:numCache>
                <c:formatCode>0.000</c:formatCode>
                <c:ptCount val="26"/>
                <c:pt idx="0">
                  <c:v>1.7311827294721986</c:v>
                </c:pt>
                <c:pt idx="1">
                  <c:v>2.022508376153449</c:v>
                </c:pt>
                <c:pt idx="2">
                  <c:v>2.2489869774802251</c:v>
                </c:pt>
                <c:pt idx="3">
                  <c:v>2.432282672535838</c:v>
                </c:pt>
                <c:pt idx="4">
                  <c:v>2.5849961268227046</c:v>
                </c:pt>
                <c:pt idx="5">
                  <c:v>2.7150465701388615</c:v>
                </c:pt>
                <c:pt idx="6">
                  <c:v>2.8277094741059932</c:v>
                </c:pt>
                <c:pt idx="7">
                  <c:v>2.92666160496207</c:v>
                </c:pt>
                <c:pt idx="8">
                  <c:v>3.0145595789222766</c:v>
                </c:pt>
                <c:pt idx="9">
                  <c:v>3.0933802393677832</c:v>
                </c:pt>
                <c:pt idx="10">
                  <c:v>3.1646310486526987</c:v>
                </c:pt>
                <c:pt idx="11">
                  <c:v>3.2294855623565875</c:v>
                </c:pt>
                <c:pt idx="12">
                  <c:v>3.2888737167173074</c:v>
                </c:pt>
                <c:pt idx="13">
                  <c:v>3.343543793507739</c:v>
                </c:pt>
                <c:pt idx="14">
                  <c:v>3.3941060383635766</c:v>
                </c:pt>
                <c:pt idx="15">
                  <c:v>3.441064050767205</c:v>
                </c:pt>
                <c:pt idx="16">
                  <c:v>3.4848378175620196</c:v>
                </c:pt>
                <c:pt idx="17">
                  <c:v>3.525780908713513</c:v>
                </c:pt>
                <c:pt idx="18">
                  <c:v>3.5641935141973682</c:v>
                </c:pt>
                <c:pt idx="19">
                  <c:v>3.6003324656594651</c:v>
                </c:pt>
                <c:pt idx="20">
                  <c:v>3.6344190372160101</c:v>
                </c:pt>
                <c:pt idx="21">
                  <c:v>3.6666450869377627</c:v>
                </c:pt>
                <c:pt idx="22">
                  <c:v>3.6971779423531772</c:v>
                </c:pt>
                <c:pt idx="23">
                  <c:v>3.7261643239061515</c:v>
                </c:pt>
                <c:pt idx="24">
                  <c:v>3.7537335234420275</c:v>
                </c:pt>
                <c:pt idx="25" formatCode="General">
                  <c:v>3.78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10AF-4F1D-9A79-5ACF8776420C}"/>
            </c:ext>
          </c:extLst>
        </c:ser>
        <c:ser>
          <c:idx val="1"/>
          <c:order val="1"/>
          <c:tx>
            <c:strRef>
              <c:f>'[1]Stress vs Strain Overtime'!$T$5</c:f>
              <c:strCache>
                <c:ptCount val="1"/>
                <c:pt idx="0">
                  <c:v>Thermal Stress (1st LIft)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29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'Stress vs Strain Overtime'!$T$7:$T$34</c:f>
              <c:numCache>
                <c:formatCode>0.000</c:formatCode>
                <c:ptCount val="26"/>
                <c:pt idx="0">
                  <c:v>0.56859267500512944</c:v>
                </c:pt>
                <c:pt idx="1">
                  <c:v>0.7451824671940751</c:v>
                </c:pt>
                <c:pt idx="2">
                  <c:v>0.96848482157805238</c:v>
                </c:pt>
                <c:pt idx="3">
                  <c:v>1.0777714758949881</c:v>
                </c:pt>
                <c:pt idx="4">
                  <c:v>1.1757606572343813</c:v>
                </c:pt>
                <c:pt idx="5">
                  <c:v>1.2337268364675305</c:v>
                </c:pt>
                <c:pt idx="6">
                  <c:v>1.2994318850280002</c:v>
                </c:pt>
                <c:pt idx="7">
                  <c:v>1.3530944175094961</c:v>
                </c:pt>
                <c:pt idx="8">
                  <c:v>1.3854043104589271</c:v>
                </c:pt>
                <c:pt idx="9">
                  <c:v>1.4302195972372</c:v>
                </c:pt>
                <c:pt idx="10">
                  <c:v>1.4846968344902547</c:v>
                </c:pt>
                <c:pt idx="11">
                  <c:v>1.5622471903747051</c:v>
                </c:pt>
                <c:pt idx="12">
                  <c:v>1.620347261636286</c:v>
                </c:pt>
                <c:pt idx="13">
                  <c:v>1.6567107278795155</c:v>
                </c:pt>
                <c:pt idx="14">
                  <c:v>1.6808330895382835</c:v>
                </c:pt>
                <c:pt idx="15">
                  <c:v>1.7174026033812018</c:v>
                </c:pt>
                <c:pt idx="16">
                  <c:v>1.7288481741545902</c:v>
                </c:pt>
                <c:pt idx="17">
                  <c:v>1.7441504132326526</c:v>
                </c:pt>
                <c:pt idx="18">
                  <c:v>1.775834720320175</c:v>
                </c:pt>
                <c:pt idx="19">
                  <c:v>1.7950506665895123</c:v>
                </c:pt>
                <c:pt idx="20">
                  <c:v>1.812534183663508</c:v>
                </c:pt>
                <c:pt idx="21">
                  <c:v>1.8230040017387097</c:v>
                </c:pt>
                <c:pt idx="22">
                  <c:v>1.8371782447854119</c:v>
                </c:pt>
                <c:pt idx="23">
                  <c:v>1.846504046878428</c:v>
                </c:pt>
                <c:pt idx="24">
                  <c:v>1.855195567160312</c:v>
                </c:pt>
                <c:pt idx="25">
                  <c:v>1.8612925004664926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10AF-4F1D-9A79-5ACF87764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832416"/>
        <c:axId val="1516823776"/>
      </c:lineChart>
      <c:catAx>
        <c:axId val="1516832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823776"/>
        <c:crosses val="autoZero"/>
        <c:auto val="1"/>
        <c:lblAlgn val="ctr"/>
        <c:lblOffset val="100"/>
        <c:noMultiLvlLbl val="0"/>
      </c:catAx>
      <c:valAx>
        <c:axId val="1516823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Stress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83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2nd</a:t>
            </a:r>
            <a:r>
              <a:rPr lang="en-ID" baseline="0"/>
              <a:t> Lift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'[1]Stress vs Strain Overtime'!$M$5</c:f>
              <c:strCache>
                <c:ptCount val="1"/>
                <c:pt idx="0">
                  <c:v>ftm=fcm/10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29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'Stress vs Strain Overtime'!$M$7:$M$34</c:f>
              <c:numCache>
                <c:formatCode>0.000</c:formatCode>
                <c:ptCount val="26"/>
                <c:pt idx="0">
                  <c:v>1.7311827294721986</c:v>
                </c:pt>
                <c:pt idx="1">
                  <c:v>2.022508376153449</c:v>
                </c:pt>
                <c:pt idx="2">
                  <c:v>2.2489869774802251</c:v>
                </c:pt>
                <c:pt idx="3">
                  <c:v>2.432282672535838</c:v>
                </c:pt>
                <c:pt idx="4">
                  <c:v>2.5849961268227046</c:v>
                </c:pt>
                <c:pt idx="5">
                  <c:v>2.7150465701388615</c:v>
                </c:pt>
                <c:pt idx="6">
                  <c:v>2.8277094741059932</c:v>
                </c:pt>
                <c:pt idx="7">
                  <c:v>2.92666160496207</c:v>
                </c:pt>
                <c:pt idx="8">
                  <c:v>3.0145595789222766</c:v>
                </c:pt>
                <c:pt idx="9">
                  <c:v>3.0933802393677832</c:v>
                </c:pt>
                <c:pt idx="10">
                  <c:v>3.1646310486526987</c:v>
                </c:pt>
                <c:pt idx="11">
                  <c:v>3.2294855623565875</c:v>
                </c:pt>
                <c:pt idx="12">
                  <c:v>3.2888737167173074</c:v>
                </c:pt>
                <c:pt idx="13">
                  <c:v>3.343543793507739</c:v>
                </c:pt>
                <c:pt idx="14">
                  <c:v>3.3941060383635766</c:v>
                </c:pt>
                <c:pt idx="15">
                  <c:v>3.441064050767205</c:v>
                </c:pt>
                <c:pt idx="16">
                  <c:v>3.4848378175620196</c:v>
                </c:pt>
                <c:pt idx="17">
                  <c:v>3.525780908713513</c:v>
                </c:pt>
                <c:pt idx="18">
                  <c:v>3.5641935141973682</c:v>
                </c:pt>
                <c:pt idx="19">
                  <c:v>3.6003324656594651</c:v>
                </c:pt>
                <c:pt idx="20">
                  <c:v>3.6344190372160101</c:v>
                </c:pt>
                <c:pt idx="21">
                  <c:v>3.6666450869377627</c:v>
                </c:pt>
                <c:pt idx="22">
                  <c:v>3.6971779423531772</c:v>
                </c:pt>
                <c:pt idx="23">
                  <c:v>3.7261643239061515</c:v>
                </c:pt>
                <c:pt idx="24">
                  <c:v>3.7537335234420275</c:v>
                </c:pt>
                <c:pt idx="25" formatCode="General">
                  <c:v>3.78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A058-4F16-97A4-6FD65A404AA0}"/>
            </c:ext>
          </c:extLst>
        </c:ser>
        <c:ser>
          <c:idx val="1"/>
          <c:order val="1"/>
          <c:tx>
            <c:strRef>
              <c:f>'[1]Stress vs Strain Overtime'!$U$5</c:f>
              <c:strCache>
                <c:ptCount val="1"/>
                <c:pt idx="0">
                  <c:v>Thermal Stress (2nd LIft)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extLst>
                <c:ext xmlns:c16="http://schemas.microsoft.com/office/drawing/2014/chart" uri="{F5D05F6E-A05E-4728-AFD3-386EB277150F}">
                  <c16:filteredLitCache>
                    <c:numCache>
                      <c:formatCode>General</c:formatCode>
                      <c:ptCount val="1"/>
                      <c:pt idx="0">
                        <c:v>29</c:v>
                      </c:pt>
                    </c:numCache>
                  </c16:filteredLitCache>
                </c:ext>
              </c:extLst>
              <c:f/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'Stress vs Strain Overtime'!$U$7:$U$34</c:f>
              <c:numCache>
                <c:formatCode>0.000</c:formatCode>
                <c:ptCount val="26"/>
                <c:pt idx="0">
                  <c:v>0.30600696306685238</c:v>
                </c:pt>
                <c:pt idx="1">
                  <c:v>0.524545759587284</c:v>
                </c:pt>
                <c:pt idx="2">
                  <c:v>0.82359036223166704</c:v>
                </c:pt>
                <c:pt idx="3">
                  <c:v>0.91045193296010585</c:v>
                </c:pt>
                <c:pt idx="4">
                  <c:v>1.0144963076080498</c:v>
                </c:pt>
                <c:pt idx="5">
                  <c:v>1.1180153454965713</c:v>
                </c:pt>
                <c:pt idx="6">
                  <c:v>1.2114641140368427</c:v>
                </c:pt>
                <c:pt idx="7">
                  <c:v>1.2649812472947559</c:v>
                </c:pt>
                <c:pt idx="8">
                  <c:v>1.3274450346444167</c:v>
                </c:pt>
                <c:pt idx="9">
                  <c:v>1.3791997988776572</c:v>
                </c:pt>
                <c:pt idx="10">
                  <c:v>1.4097468890348235</c:v>
                </c:pt>
                <c:pt idx="11">
                  <c:v>1.4546367873048995</c:v>
                </c:pt>
                <c:pt idx="12">
                  <c:v>1.5091250093049839</c:v>
                </c:pt>
                <c:pt idx="13">
                  <c:v>1.5885927304852874</c:v>
                </c:pt>
                <c:pt idx="14">
                  <c:v>1.6480678120532555</c:v>
                </c:pt>
                <c:pt idx="15">
                  <c:v>1.6845786286605158</c:v>
                </c:pt>
                <c:pt idx="16">
                  <c:v>1.7123409836218995</c:v>
                </c:pt>
                <c:pt idx="17">
                  <c:v>1.7485009482310525</c:v>
                </c:pt>
                <c:pt idx="18">
                  <c:v>1.7636610358047358</c:v>
                </c:pt>
                <c:pt idx="19">
                  <c:v>1.7791476119971983</c:v>
                </c:pt>
                <c:pt idx="20">
                  <c:v>1.8133064796686391</c:v>
                </c:pt>
                <c:pt idx="21">
                  <c:v>1.8343659916310295</c:v>
                </c:pt>
                <c:pt idx="22">
                  <c:v>1.8528855500095196</c:v>
                </c:pt>
                <c:pt idx="23">
                  <c:v>1.8665047228027505</c:v>
                </c:pt>
                <c:pt idx="24">
                  <c:v>1.8803594704887969</c:v>
                </c:pt>
                <c:pt idx="25">
                  <c:v>1.8915581565039545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A058-4F16-97A4-6FD65A404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9682175"/>
        <c:axId val="1629687455"/>
      </c:lineChart>
      <c:catAx>
        <c:axId val="1629682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87455"/>
        <c:crosses val="autoZero"/>
        <c:auto val="1"/>
        <c:lblAlgn val="ctr"/>
        <c:lblOffset val="100"/>
        <c:noMultiLvlLbl val="0"/>
      </c:catAx>
      <c:valAx>
        <c:axId val="162968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Stress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68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3661</xdr:colOff>
      <xdr:row>2</xdr:row>
      <xdr:rowOff>181707</xdr:rowOff>
    </xdr:from>
    <xdr:to>
      <xdr:col>13</xdr:col>
      <xdr:colOff>318719</xdr:colOff>
      <xdr:row>16</xdr:row>
      <xdr:rowOff>146538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5D4995-AAB2-484D-8C79-B5936B23E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264160</xdr:colOff>
      <xdr:row>187</xdr:row>
      <xdr:rowOff>60960</xdr:rowOff>
    </xdr:from>
    <xdr:to>
      <xdr:col>8</xdr:col>
      <xdr:colOff>193040</xdr:colOff>
      <xdr:row>202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721DF-F6FF-4ABC-ACB1-8C7F5F3D1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36</xdr:row>
      <xdr:rowOff>11430</xdr:rowOff>
    </xdr:from>
    <xdr:to>
      <xdr:col>8</xdr:col>
      <xdr:colOff>525780</xdr:colOff>
      <xdr:row>51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E822D-146C-4074-9CD4-1F23F6187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571500</xdr:colOff>
      <xdr:row>36</xdr:row>
      <xdr:rowOff>3810</xdr:rowOff>
    </xdr:from>
    <xdr:to>
      <xdr:col>15</xdr:col>
      <xdr:colOff>403860</xdr:colOff>
      <xdr:row>51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6A6BAD-620C-4D2B-9FE0-1D6DC885D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d548e9bfa90edd5/Desktop/Dp%203%20excel%20new.xlsx" TargetMode="External"/><Relationship Id="rId1" Type="http://schemas.openxmlformats.org/officeDocument/2006/relationships/externalLinkPath" Target="Dp%203%20excel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cing Temp"/>
      <sheetName val="Adieabatic Temperature Rise"/>
      <sheetName val="Single Lift"/>
      <sheetName val="two lifts"/>
      <sheetName val="Stress vs Strain Overtime"/>
    </sheetNames>
    <sheetDataSet>
      <sheetData sheetId="0">
        <row r="22">
          <cell r="I22">
            <v>10.525436669236857</v>
          </cell>
        </row>
      </sheetData>
      <sheetData sheetId="1">
        <row r="4">
          <cell r="D4" t="str">
            <v>∆ Adiabatic Rise (C) for 406kg/m3</v>
          </cell>
        </row>
        <row r="5">
          <cell r="B5">
            <v>0</v>
          </cell>
          <cell r="D5">
            <v>0</v>
          </cell>
        </row>
        <row r="6">
          <cell r="B6">
            <v>1</v>
          </cell>
          <cell r="D6">
            <v>16.385650224215247</v>
          </cell>
          <cell r="E6">
            <v>16.385650224215247</v>
          </cell>
        </row>
        <row r="7">
          <cell r="B7">
            <v>2</v>
          </cell>
          <cell r="D7">
            <v>20.026905829596412</v>
          </cell>
          <cell r="E7">
            <v>3.6412556053811649</v>
          </cell>
        </row>
        <row r="8">
          <cell r="B8">
            <v>3</v>
          </cell>
          <cell r="D8">
            <v>24.032286995515694</v>
          </cell>
          <cell r="E8">
            <v>4.0053811659192817</v>
          </cell>
        </row>
        <row r="9">
          <cell r="B9">
            <v>4</v>
          </cell>
          <cell r="D9">
            <v>25.306726457399105</v>
          </cell>
          <cell r="E9">
            <v>1.2744394618834107</v>
          </cell>
        </row>
        <row r="10">
          <cell r="B10">
            <v>5</v>
          </cell>
          <cell r="D10">
            <v>26.945291479820629</v>
          </cell>
          <cell r="E10">
            <v>1.638565022421524</v>
          </cell>
        </row>
        <row r="11">
          <cell r="B11">
            <v>6</v>
          </cell>
          <cell r="D11">
            <v>28.583856502242153</v>
          </cell>
          <cell r="E11">
            <v>1.638565022421524</v>
          </cell>
        </row>
        <row r="12">
          <cell r="B12">
            <v>7</v>
          </cell>
          <cell r="D12">
            <v>30.04035874439462</v>
          </cell>
          <cell r="E12">
            <v>1.4565022421524674</v>
          </cell>
        </row>
        <row r="13">
          <cell r="B13">
            <v>8</v>
          </cell>
          <cell r="D13">
            <v>30.76860986547085</v>
          </cell>
          <cell r="E13">
            <v>0.72825112107623013</v>
          </cell>
        </row>
        <row r="14">
          <cell r="B14">
            <v>9</v>
          </cell>
          <cell r="D14">
            <v>31.678923766816141</v>
          </cell>
          <cell r="E14">
            <v>0.91031390134529033</v>
          </cell>
        </row>
        <row r="15">
          <cell r="B15">
            <v>10</v>
          </cell>
          <cell r="D15">
            <v>32.407174887892374</v>
          </cell>
          <cell r="E15">
            <v>0.72825112107623369</v>
          </cell>
        </row>
        <row r="16">
          <cell r="B16">
            <v>11</v>
          </cell>
          <cell r="D16">
            <v>32.771300448430495</v>
          </cell>
          <cell r="E16">
            <v>0.3641255605381204</v>
          </cell>
        </row>
        <row r="17">
          <cell r="B17">
            <v>12</v>
          </cell>
          <cell r="D17">
            <v>33.408520179372196</v>
          </cell>
          <cell r="E17">
            <v>0.63721973094170181</v>
          </cell>
        </row>
        <row r="18">
          <cell r="B18">
            <v>13</v>
          </cell>
          <cell r="D18">
            <v>34.227802690582962</v>
          </cell>
          <cell r="E18">
            <v>0.81928251121076556</v>
          </cell>
        </row>
        <row r="19">
          <cell r="B19">
            <v>14</v>
          </cell>
          <cell r="D19">
            <v>35.502242152466366</v>
          </cell>
          <cell r="E19">
            <v>1.2744394618834036</v>
          </cell>
        </row>
        <row r="20">
          <cell r="B20">
            <v>15</v>
          </cell>
          <cell r="D20">
            <v>36.412556053811656</v>
          </cell>
          <cell r="E20">
            <v>0.91031390134529033</v>
          </cell>
        </row>
        <row r="21">
          <cell r="B21">
            <v>16</v>
          </cell>
          <cell r="D21">
            <v>36.95874439461884</v>
          </cell>
          <cell r="E21">
            <v>0.54618834080718415</v>
          </cell>
        </row>
        <row r="22">
          <cell r="B22">
            <v>17</v>
          </cell>
          <cell r="D22">
            <v>37.322869955156953</v>
          </cell>
          <cell r="E22">
            <v>0.36412556053811329</v>
          </cell>
        </row>
        <row r="23">
          <cell r="B23">
            <v>18</v>
          </cell>
          <cell r="D23">
            <v>37.86905829596413</v>
          </cell>
          <cell r="E23">
            <v>0.54618834080717704</v>
          </cell>
        </row>
        <row r="24">
          <cell r="B24">
            <v>19</v>
          </cell>
          <cell r="D24">
            <v>38.05112107623318</v>
          </cell>
          <cell r="E24">
            <v>0.18206278026904954</v>
          </cell>
        </row>
        <row r="25">
          <cell r="B25">
            <v>20</v>
          </cell>
          <cell r="D25">
            <v>38.233183856502244</v>
          </cell>
          <cell r="E25">
            <v>0.18206278026906375</v>
          </cell>
        </row>
        <row r="26">
          <cell r="B26">
            <v>21</v>
          </cell>
          <cell r="D26">
            <v>38.779372197309421</v>
          </cell>
          <cell r="E26">
            <v>0.54618834080717704</v>
          </cell>
        </row>
        <row r="27">
          <cell r="B27">
            <v>22</v>
          </cell>
          <cell r="D27">
            <v>39.052466367713002</v>
          </cell>
          <cell r="E27">
            <v>0.27309417040358142</v>
          </cell>
        </row>
        <row r="28">
          <cell r="B28">
            <v>23</v>
          </cell>
          <cell r="D28">
            <v>39.325560538116591</v>
          </cell>
          <cell r="E28">
            <v>0.27309417040358852</v>
          </cell>
        </row>
        <row r="29">
          <cell r="B29">
            <v>24</v>
          </cell>
          <cell r="D29">
            <v>39.507623318385647</v>
          </cell>
          <cell r="E29">
            <v>0.18206278026905665</v>
          </cell>
        </row>
        <row r="30">
          <cell r="B30">
            <v>25</v>
          </cell>
          <cell r="D30">
            <v>39.689686098654711</v>
          </cell>
          <cell r="E30">
            <v>0.18206278026906375</v>
          </cell>
        </row>
        <row r="31">
          <cell r="B31">
            <v>26</v>
          </cell>
          <cell r="D31">
            <v>39.871748878923768</v>
          </cell>
          <cell r="E31">
            <v>0.18206278026905665</v>
          </cell>
        </row>
        <row r="32">
          <cell r="B32">
            <v>27</v>
          </cell>
          <cell r="D32">
            <v>39.962780269058293</v>
          </cell>
          <cell r="E32">
            <v>9.103139013452477E-2</v>
          </cell>
        </row>
        <row r="33">
          <cell r="B33">
            <v>28</v>
          </cell>
          <cell r="D33">
            <v>40.053811659192824</v>
          </cell>
          <cell r="E33">
            <v>9.1031390134531875E-2</v>
          </cell>
        </row>
      </sheetData>
      <sheetData sheetId="2">
        <row r="185">
          <cell r="C185" t="str">
            <v>T (Days)</v>
          </cell>
          <cell r="D185">
            <v>1</v>
          </cell>
          <cell r="E185">
            <v>2</v>
          </cell>
          <cell r="F185">
            <v>3</v>
          </cell>
          <cell r="G185">
            <v>4</v>
          </cell>
          <cell r="H185">
            <v>5</v>
          </cell>
          <cell r="I185">
            <v>6</v>
          </cell>
          <cell r="J185">
            <v>7</v>
          </cell>
          <cell r="K185">
            <v>8</v>
          </cell>
          <cell r="L185">
            <v>9</v>
          </cell>
          <cell r="M185">
            <v>10</v>
          </cell>
          <cell r="N185">
            <v>11</v>
          </cell>
          <cell r="O185">
            <v>12</v>
          </cell>
          <cell r="P185">
            <v>13</v>
          </cell>
          <cell r="Q185">
            <v>14</v>
          </cell>
          <cell r="R185">
            <v>15</v>
          </cell>
          <cell r="S185">
            <v>16</v>
          </cell>
          <cell r="T185">
            <v>17</v>
          </cell>
          <cell r="U185">
            <v>18</v>
          </cell>
          <cell r="V185">
            <v>19</v>
          </cell>
          <cell r="W185">
            <v>20</v>
          </cell>
          <cell r="X185">
            <v>21</v>
          </cell>
          <cell r="Y185">
            <v>22</v>
          </cell>
          <cell r="Z185">
            <v>23</v>
          </cell>
          <cell r="AA185">
            <v>24</v>
          </cell>
          <cell r="AB185">
            <v>25</v>
          </cell>
          <cell r="AC185">
            <v>26</v>
          </cell>
          <cell r="AD185">
            <v>27</v>
          </cell>
          <cell r="AE185">
            <v>28</v>
          </cell>
        </row>
        <row r="186">
          <cell r="C186" t="str">
            <v xml:space="preserve">Thermal stress </v>
          </cell>
          <cell r="D186">
            <v>8.5771817719368051E-2</v>
          </cell>
          <cell r="E186">
            <v>0.35786268734318655</v>
          </cell>
          <cell r="F186">
            <v>0.44155795665956793</v>
          </cell>
          <cell r="G186">
            <v>0.48220467879862777</v>
          </cell>
          <cell r="H186">
            <v>0.52241551125612096</v>
          </cell>
          <cell r="I186">
            <v>0.55968834864019967</v>
          </cell>
          <cell r="J186">
            <v>0.59243618785423291</v>
          </cell>
          <cell r="K186">
            <v>0.61302025025826601</v>
          </cell>
          <cell r="L186">
            <v>0.6350830709071883</v>
          </cell>
          <cell r="M186">
            <v>0.65349122586830932</v>
          </cell>
          <cell r="N186">
            <v>0.66556643143122407</v>
          </cell>
          <cell r="O186">
            <v>0.68119748921373913</v>
          </cell>
          <cell r="P186">
            <v>0.69918771376631095</v>
          </cell>
          <cell r="Q186">
            <v>0.72397761821340534</v>
          </cell>
          <cell r="R186">
            <v>0.7427942441944575</v>
          </cell>
          <cell r="S186">
            <v>0.7555784707708797</v>
          </cell>
          <cell r="T186">
            <v>0.76519124387284898</v>
          </cell>
          <cell r="U186">
            <v>0.77747869666688041</v>
          </cell>
          <cell r="V186">
            <v>0.78369885187380361</v>
          </cell>
          <cell r="W186">
            <v>0.78970458946194511</v>
          </cell>
          <cell r="X186">
            <v>0.80144000304835106</v>
          </cell>
          <cell r="Y186">
            <v>0.80859233749328163</v>
          </cell>
          <cell r="Z186">
            <v>0.81560257071470355</v>
          </cell>
          <cell r="AA186">
            <v>0.82098961169309859</v>
          </cell>
          <cell r="AB186">
            <v>0.82625301255409933</v>
          </cell>
          <cell r="AC186">
            <v>0.83140131027810293</v>
          </cell>
          <cell r="AD186">
            <v>0.83494111011022276</v>
          </cell>
          <cell r="AE186">
            <v>0.83837612739673484</v>
          </cell>
        </row>
      </sheetData>
      <sheetData sheetId="3">
        <row r="104">
          <cell r="K104">
            <v>-0.25667670537231302</v>
          </cell>
          <cell r="M104">
            <v>-0.31235209685226822</v>
          </cell>
          <cell r="O104">
            <v>-0.37178892737601144</v>
          </cell>
          <cell r="Q104">
            <v>-0.38162675970370835</v>
          </cell>
          <cell r="S104">
            <v>-0.38945214796236571</v>
          </cell>
          <cell r="U104">
            <v>-0.39587666137348226</v>
          </cell>
          <cell r="W104">
            <v>-0.40127835413438284</v>
          </cell>
          <cell r="Y104">
            <v>-0.40590553603661594</v>
          </cell>
          <cell r="AA104">
            <v>-0.40992911197841836</v>
          </cell>
          <cell r="AC104">
            <v>-0.41347117685066986</v>
          </cell>
          <cell r="AE104">
            <v>-0.41662164828676818</v>
          </cell>
          <cell r="AG104">
            <v>-0.41944844336734888</v>
          </cell>
          <cell r="AI104">
            <v>-0.42200397065287232</v>
          </cell>
          <cell r="AK104">
            <v>-0.42432941949927377</v>
          </cell>
          <cell r="AM104">
            <v>-0.42645768007253521</v>
          </cell>
          <cell r="AO104">
            <v>-0.42841538318653166</v>
          </cell>
          <cell r="AQ104">
            <v>-0.43022435773682094</v>
          </cell>
          <cell r="AS104">
            <v>-0.43190269287011385</v>
          </cell>
          <cell r="AU104">
            <v>-0.43346552582795728</v>
          </cell>
          <cell r="AW104">
            <v>-0.43492563557385117</v>
          </cell>
          <cell r="AY104">
            <v>-0.43629389644799238</v>
          </cell>
          <cell r="BA104">
            <v>-0.43757962931187266</v>
          </cell>
          <cell r="BC104">
            <v>-0.4387908765197453</v>
          </cell>
          <cell r="BE104">
            <v>-0.4399346195340742</v>
          </cell>
          <cell r="BG104">
            <v>-0.44101695282863268</v>
          </cell>
          <cell r="BI104">
            <v>-0.44204322410596897</v>
          </cell>
        </row>
        <row r="105">
          <cell r="K105">
            <v>0.30600696306685238</v>
          </cell>
          <cell r="M105">
            <v>0.18217845468019442</v>
          </cell>
          <cell r="O105">
            <v>0.32551565822846756</v>
          </cell>
          <cell r="Q105">
            <v>0.19237222786456895</v>
          </cell>
          <cell r="S105">
            <v>0.22477530134969115</v>
          </cell>
          <cell r="U105">
            <v>0.1911180896979478</v>
          </cell>
          <cell r="W105">
            <v>0.20716539522112512</v>
          </cell>
          <cell r="Y105">
            <v>0.15007833352788183</v>
          </cell>
          <cell r="AA105">
            <v>0.15811859526419494</v>
          </cell>
          <cell r="AC105">
            <v>0.12541591552833761</v>
          </cell>
          <cell r="AE105">
            <v>0.10726489363520778</v>
          </cell>
          <cell r="AG105">
            <v>9.3445755344482948E-2</v>
          </cell>
          <cell r="AI105">
            <v>0.10477593528955879</v>
          </cell>
          <cell r="AK105">
            <v>0.12320856970534627</v>
          </cell>
          <cell r="AM105">
            <v>0.12324832206790431</v>
          </cell>
          <cell r="AO105">
            <v>9.9615852653672843E-2</v>
          </cell>
          <cell r="AQ105">
            <v>8.5170828624056907E-2</v>
          </cell>
          <cell r="AS105">
            <v>7.8137900840515209E-2</v>
          </cell>
          <cell r="AU105">
            <v>5.6296043136057183E-2</v>
          </cell>
          <cell r="AW105">
            <v>3.8297411192495925E-2</v>
          </cell>
          <cell r="AY105">
            <v>4.9493278506691128E-2</v>
          </cell>
          <cell r="BA105">
            <v>3.0265373664992309E-2</v>
          </cell>
          <cell r="BC105">
            <v>2.6254818981115743E-2</v>
          </cell>
          <cell r="BE105">
            <v>9.5000619025276626E-3</v>
          </cell>
          <cell r="BG105">
            <v>3.8821855779639504E-3</v>
          </cell>
          <cell r="BI105">
            <v>-7.7676684395835555E-3</v>
          </cell>
        </row>
        <row r="106">
          <cell r="K106">
            <v>0.30600696306685238</v>
          </cell>
          <cell r="M106">
            <v>0.524545759587284</v>
          </cell>
          <cell r="O106">
            <v>0.61983252877581285</v>
          </cell>
          <cell r="Q106">
            <v>0.65482485347625774</v>
          </cell>
          <cell r="S106">
            <v>0.59473469166892223</v>
          </cell>
          <cell r="U106">
            <v>0.65034806948894319</v>
          </cell>
          <cell r="W106">
            <v>0.61981976539145189</v>
          </cell>
          <cell r="Y106">
            <v>0.62016972421550798</v>
          </cell>
          <cell r="AA106">
            <v>0.57873288219802788</v>
          </cell>
          <cell r="AC106">
            <v>0.58609395989672575</v>
          </cell>
          <cell r="AE106">
            <v>0.53121817494994228</v>
          </cell>
          <cell r="AG106">
            <v>0.53578033507623357</v>
          </cell>
          <cell r="AI106">
            <v>0.5231643357560497</v>
          </cell>
          <cell r="AK106">
            <v>0.56623924347824439</v>
          </cell>
          <cell r="AM106">
            <v>0.56245393309252734</v>
          </cell>
          <cell r="AO106">
            <v>0.5563000369529878</v>
          </cell>
          <cell r="AQ106">
            <v>0.52301736565870238</v>
          </cell>
          <cell r="AS106">
            <v>0.52304856812613043</v>
          </cell>
          <cell r="AU106">
            <v>0.48868680692467203</v>
          </cell>
          <cell r="AW106">
            <v>0.47003916851629551</v>
          </cell>
          <cell r="AY106">
            <v>0.46476550824060209</v>
          </cell>
          <cell r="BA106">
            <v>0.45796908726261554</v>
          </cell>
          <cell r="BC106">
            <v>0.43636577659789499</v>
          </cell>
          <cell r="BE106">
            <v>0.42624839061431552</v>
          </cell>
          <cell r="BG106">
            <v>0.40403341249428004</v>
          </cell>
          <cell r="BI106">
            <v>0.3966513875693839</v>
          </cell>
        </row>
        <row r="107">
          <cell r="K107">
            <v>0.30600696306685238</v>
          </cell>
          <cell r="M107">
            <v>0.524545759587284</v>
          </cell>
          <cell r="O107">
            <v>0.82359036223166704</v>
          </cell>
          <cell r="Q107">
            <v>0.80587721862580408</v>
          </cell>
          <cell r="S107">
            <v>0.88406190717498778</v>
          </cell>
          <cell r="U107">
            <v>0.87755240332254614</v>
          </cell>
          <cell r="W107">
            <v>0.94084104077932285</v>
          </cell>
          <cell r="Y107">
            <v>0.89715752030585094</v>
          </cell>
          <cell r="AA107">
            <v>0.92414832406431346</v>
          </cell>
          <cell r="AC107">
            <v>0.88870160441266421</v>
          </cell>
          <cell r="AE107">
            <v>0.88603872857763655</v>
          </cell>
          <cell r="AG107">
            <v>0.85459567230608768</v>
          </cell>
          <cell r="AI107">
            <v>0.87758990302262563</v>
          </cell>
          <cell r="AK107">
            <v>0.8927287166713157</v>
          </cell>
          <cell r="AM107">
            <v>0.92194253696046835</v>
          </cell>
          <cell r="AO107">
            <v>0.90027982776572368</v>
          </cell>
          <cell r="AQ107">
            <v>0.89398574795831132</v>
          </cell>
          <cell r="AS107">
            <v>0.87467158605224093</v>
          </cell>
          <cell r="AU107">
            <v>0.85950991061773563</v>
          </cell>
          <cell r="AW107">
            <v>0.82475591152750782</v>
          </cell>
          <cell r="AY107">
            <v>0.83187233122742743</v>
          </cell>
          <cell r="BA107">
            <v>0.80808184235965608</v>
          </cell>
          <cell r="BC107">
            <v>0.80264981203411445</v>
          </cell>
          <cell r="BE107">
            <v>0.77515207980233214</v>
          </cell>
          <cell r="BG107">
            <v>0.76609454412747702</v>
          </cell>
          <cell r="BI107">
            <v>0.7419199911670743</v>
          </cell>
        </row>
        <row r="108">
          <cell r="K108">
            <v>0.30600696306685238</v>
          </cell>
          <cell r="M108">
            <v>0.524545759587284</v>
          </cell>
          <cell r="O108">
            <v>0.82359036223166704</v>
          </cell>
          <cell r="Q108">
            <v>0.91045193296010585</v>
          </cell>
          <cell r="S108">
            <v>0.96113678015816062</v>
          </cell>
          <cell r="U108">
            <v>1.051722303794459</v>
          </cell>
          <cell r="W108">
            <v>1.075847133758808</v>
          </cell>
          <cell r="Y108">
            <v>1.1111163031196409</v>
          </cell>
          <cell r="AA108">
            <v>1.1035646556570093</v>
          </cell>
          <cell r="AC108">
            <v>1.1322983978139503</v>
          </cell>
          <cell r="AE108">
            <v>1.0954189279141888</v>
          </cell>
          <cell r="AG108">
            <v>1.1168196409195643</v>
          </cell>
          <cell r="AI108">
            <v>1.1086019340719435</v>
          </cell>
          <cell r="AK108">
            <v>1.1650871552246032</v>
          </cell>
          <cell r="AM108">
            <v>1.1675527814765199</v>
          </cell>
          <cell r="AO108">
            <v>1.1824127689727961</v>
          </cell>
          <cell r="AQ108">
            <v>1.1566524957446858</v>
          </cell>
          <cell r="AS108">
            <v>1.1687331669405441</v>
          </cell>
          <cell r="AU108">
            <v>1.1341709596129972</v>
          </cell>
          <cell r="AW108">
            <v>1.1249252334597739</v>
          </cell>
          <cell r="AY108">
            <v>1.1147681508501273</v>
          </cell>
          <cell r="BA108">
            <v>1.1109240039191488</v>
          </cell>
          <cell r="BC108">
            <v>1.0885320716000302</v>
          </cell>
          <cell r="BE108">
            <v>1.0807488907569551</v>
          </cell>
          <cell r="BG108">
            <v>1.0548773361592614</v>
          </cell>
          <cell r="BI108">
            <v>1.0480866344249209</v>
          </cell>
        </row>
        <row r="109">
          <cell r="K109">
            <v>0.30600696306685238</v>
          </cell>
          <cell r="M109">
            <v>0.524545759587284</v>
          </cell>
          <cell r="O109">
            <v>0.82359036223166704</v>
          </cell>
          <cell r="Q109">
            <v>0.91045193296010585</v>
          </cell>
          <cell r="S109">
            <v>1.0144963076080498</v>
          </cell>
          <cell r="U109">
            <v>1.0908954648002527</v>
          </cell>
          <cell r="W109">
            <v>1.1778653126166092</v>
          </cell>
          <cell r="Y109">
            <v>1.1894391210882989</v>
          </cell>
          <cell r="AA109">
            <v>1.2411691812785379</v>
          </cell>
          <cell r="AC109">
            <v>1.2452845074148051</v>
          </cell>
          <cell r="AE109">
            <v>1.2615118917953241</v>
          </cell>
          <cell r="AG109">
            <v>1.2572304890398538</v>
          </cell>
          <cell r="AI109">
            <v>1.2959080367232032</v>
          </cell>
          <cell r="AK109">
            <v>1.3273667081203309</v>
          </cell>
          <cell r="AM109">
            <v>1.3697515693371005</v>
          </cell>
          <cell r="AO109">
            <v>1.3615575915372382</v>
          </cell>
          <cell r="AQ109">
            <v>1.3715218813554078</v>
          </cell>
          <cell r="AS109">
            <v>1.3644517003915406</v>
          </cell>
          <cell r="AU109">
            <v>1.3616710740816635</v>
          </cell>
          <cell r="AW109">
            <v>1.3342257510716653</v>
          </cell>
          <cell r="AY109">
            <v>1.3515659789244363</v>
          </cell>
          <cell r="BA109">
            <v>1.3309974576142805</v>
          </cell>
          <cell r="BC109">
            <v>1.3318526755187832</v>
          </cell>
          <cell r="BE109">
            <v>1.3079933379416346</v>
          </cell>
          <cell r="BG109">
            <v>1.3037278652146018</v>
          </cell>
          <cell r="BI109">
            <v>1.2812515527792105</v>
          </cell>
        </row>
        <row r="110">
          <cell r="K110">
            <v>0.30600696306685238</v>
          </cell>
          <cell r="M110">
            <v>0.524545759587284</v>
          </cell>
          <cell r="O110">
            <v>0.82359036223166704</v>
          </cell>
          <cell r="Q110">
            <v>0.91045193296010585</v>
          </cell>
          <cell r="S110">
            <v>1.0144963076080498</v>
          </cell>
          <cell r="U110">
            <v>1.1180153454965713</v>
          </cell>
          <cell r="W110">
            <v>1.1977191498194746</v>
          </cell>
          <cell r="Y110">
            <v>1.2479881309701952</v>
          </cell>
          <cell r="AA110">
            <v>1.2857892428746343</v>
          </cell>
          <cell r="AC110">
            <v>1.3313616689073788</v>
          </cell>
          <cell r="AE110">
            <v>1.3310608429002044</v>
          </cell>
          <cell r="AG110">
            <v>1.3673501885142822</v>
          </cell>
          <cell r="AI110">
            <v>1.3876764330059439</v>
          </cell>
          <cell r="AK110">
            <v>1.4573876768824123</v>
          </cell>
          <cell r="AM110">
            <v>1.4807937160568432</v>
          </cell>
          <cell r="AO110">
            <v>1.5073564887584472</v>
          </cell>
          <cell r="AQ110">
            <v>1.4987711111314594</v>
          </cell>
          <cell r="AS110">
            <v>1.5237498734518122</v>
          </cell>
          <cell r="AU110">
            <v>1.504205754664393</v>
          </cell>
          <cell r="AW110">
            <v>1.5061668424007184</v>
          </cell>
          <cell r="AY110">
            <v>1.5075237904381289</v>
          </cell>
          <cell r="BA110">
            <v>1.5134531696623201</v>
          </cell>
          <cell r="BC110">
            <v>1.4992777290714123</v>
          </cell>
          <cell r="BE110">
            <v>1.498876139022943</v>
          </cell>
          <cell r="BG110">
            <v>1.4801922535105718</v>
          </cell>
          <cell r="BI110">
            <v>1.4793291409945701</v>
          </cell>
        </row>
        <row r="111">
          <cell r="K111">
            <v>0.30600696306685238</v>
          </cell>
          <cell r="M111">
            <v>0.524545759587284</v>
          </cell>
          <cell r="O111">
            <v>0.82359036223166704</v>
          </cell>
          <cell r="Q111">
            <v>0.91045193296010585</v>
          </cell>
          <cell r="S111">
            <v>1.0144963076080498</v>
          </cell>
          <cell r="U111">
            <v>1.1180153454965713</v>
          </cell>
          <cell r="W111">
            <v>1.2114641140368427</v>
          </cell>
          <cell r="Y111">
            <v>1.2580295178892538</v>
          </cell>
          <cell r="AA111">
            <v>1.3188642535682442</v>
          </cell>
          <cell r="AC111">
            <v>1.3564216103474007</v>
          </cell>
          <cell r="AE111">
            <v>1.3837230153384124</v>
          </cell>
          <cell r="AG111">
            <v>1.4093646901439656</v>
          </cell>
          <cell r="AI111">
            <v>1.4589871622985058</v>
          </cell>
          <cell r="AK111">
            <v>1.5160840935109168</v>
          </cell>
          <cell r="AM111">
            <v>1.5688602263450873</v>
          </cell>
          <cell r="AO111">
            <v>1.5816400300433933</v>
          </cell>
          <cell r="AQ111">
            <v>1.6012600348106243</v>
          </cell>
          <cell r="AS111">
            <v>1.6120729013382504</v>
          </cell>
          <cell r="AU111">
            <v>1.6194333594576344</v>
          </cell>
          <cell r="AW111">
            <v>1.6078037495271764</v>
          </cell>
          <cell r="AY111">
            <v>1.6345651733609856</v>
          </cell>
          <cell r="BA111">
            <v>1.6273054960661435</v>
          </cell>
          <cell r="BC111">
            <v>1.636730212243271</v>
          </cell>
          <cell r="BE111">
            <v>1.6236943190382966</v>
          </cell>
          <cell r="BG111">
            <v>1.6265771657633026</v>
          </cell>
          <cell r="BI111">
            <v>1.6135504439932362</v>
          </cell>
        </row>
        <row r="112">
          <cell r="K112">
            <v>0.30600696306685238</v>
          </cell>
          <cell r="M112">
            <v>0.524545759587284</v>
          </cell>
          <cell r="O112">
            <v>0.82359036223166704</v>
          </cell>
          <cell r="Q112">
            <v>0.91045193296010585</v>
          </cell>
          <cell r="S112">
            <v>1.0144963076080498</v>
          </cell>
          <cell r="U112">
            <v>1.1180153454965713</v>
          </cell>
          <cell r="W112">
            <v>1.2114641140368427</v>
          </cell>
          <cell r="Y112">
            <v>1.2649812472947559</v>
          </cell>
          <cell r="AA112">
            <v>1.323934715113255</v>
          </cell>
          <cell r="AC112">
            <v>1.3748723364625826</v>
          </cell>
          <cell r="AE112">
            <v>1.3976367695919392</v>
          </cell>
          <cell r="AG112">
            <v>1.441002777217756</v>
          </cell>
          <cell r="AI112">
            <v>1.4839682523443531</v>
          </cell>
          <cell r="AK112">
            <v>1.5613171437716906</v>
          </cell>
          <cell r="AM112">
            <v>1.6057062644441304</v>
          </cell>
          <cell r="AO112">
            <v>1.6399571049691826</v>
          </cell>
          <cell r="AQ112">
            <v>1.6499704300755853</v>
          </cell>
          <cell r="AS112">
            <v>1.6823990459586731</v>
          </cell>
          <cell r="AU112">
            <v>1.679490072840307</v>
          </cell>
          <cell r="AW112">
            <v>1.6891485953232652</v>
          </cell>
          <cell r="AY112">
            <v>1.7056429539040232</v>
          </cell>
          <cell r="BA112">
            <v>1.7189958971341617</v>
          </cell>
          <cell r="BC112">
            <v>1.7182925135505123</v>
          </cell>
          <cell r="BE112">
            <v>1.7248628337369416</v>
          </cell>
          <cell r="BG112">
            <v>1.717932152700963</v>
          </cell>
          <cell r="BI112">
            <v>1.7232309344011818</v>
          </cell>
        </row>
        <row r="113">
          <cell r="K113">
            <v>0.30600696306685238</v>
          </cell>
          <cell r="M113">
            <v>0.524545759587284</v>
          </cell>
          <cell r="O113">
            <v>0.82359036223166704</v>
          </cell>
          <cell r="Q113">
            <v>0.91045193296010585</v>
          </cell>
          <cell r="S113">
            <v>1.0144963076080498</v>
          </cell>
          <cell r="U113">
            <v>1.1180153454965713</v>
          </cell>
          <cell r="W113">
            <v>1.2114641140368427</v>
          </cell>
          <cell r="Y113">
            <v>1.2649812472947559</v>
          </cell>
          <cell r="AA113">
            <v>1.3274450346444167</v>
          </cell>
          <cell r="AC113">
            <v>1.3774294733442169</v>
          </cell>
          <cell r="AE113">
            <v>1.4078243332476552</v>
          </cell>
          <cell r="AG113">
            <v>1.4486478999614614</v>
          </cell>
          <cell r="AI113">
            <v>1.5026278429853597</v>
          </cell>
          <cell r="AK113">
            <v>1.5759450389705918</v>
          </cell>
          <cell r="AM113">
            <v>1.6337409281916482</v>
          </cell>
          <cell r="AO113">
            <v>1.6626847267080245</v>
          </cell>
          <cell r="AQ113">
            <v>1.6875872334543749</v>
          </cell>
          <cell r="AS113">
            <v>1.7137563833578462</v>
          </cell>
          <cell r="AU113">
            <v>1.7264059862596564</v>
          </cell>
          <cell r="AW113">
            <v>1.729221435362817</v>
          </cell>
          <cell r="AY113">
            <v>1.7614435483911024</v>
          </cell>
          <cell r="BA113">
            <v>1.7678178808933949</v>
          </cell>
          <cell r="BC113">
            <v>1.7826510235113782</v>
          </cell>
          <cell r="BE113">
            <v>1.782306225133683</v>
          </cell>
          <cell r="BG113">
            <v>1.7903989410360763</v>
          </cell>
          <cell r="BI113">
            <v>1.7890049936851187</v>
          </cell>
        </row>
        <row r="114">
          <cell r="K114">
            <v>0.30600696306685238</v>
          </cell>
          <cell r="M114">
            <v>0.524545759587284</v>
          </cell>
          <cell r="O114">
            <v>0.82359036223166704</v>
          </cell>
          <cell r="Q114">
            <v>0.91045193296010585</v>
          </cell>
          <cell r="S114">
            <v>1.0144963076080498</v>
          </cell>
          <cell r="U114">
            <v>1.1180153454965713</v>
          </cell>
          <cell r="W114">
            <v>1.2114641140368427</v>
          </cell>
          <cell r="Y114">
            <v>1.2649812472947559</v>
          </cell>
          <cell r="AA114">
            <v>1.3274450346444167</v>
          </cell>
          <cell r="AC114">
            <v>1.3791997988776572</v>
          </cell>
          <cell r="AE114">
            <v>1.4090977787046197</v>
          </cell>
          <cell r="AG114">
            <v>1.4541030005945721</v>
          </cell>
          <cell r="AI114">
            <v>1.5067422130823174</v>
          </cell>
          <cell r="AK114">
            <v>1.5865014991335389</v>
          </cell>
          <cell r="AM114">
            <v>1.6421424195730876</v>
          </cell>
          <cell r="AO114">
            <v>1.6792849220109705</v>
          </cell>
          <cell r="AQ114">
            <v>1.7013478093854804</v>
          </cell>
          <cell r="AS114">
            <v>1.7369237607681498</v>
          </cell>
          <cell r="AU114">
            <v>1.7462258920431322</v>
          </cell>
          <cell r="AW114">
            <v>1.7591277861581744</v>
          </cell>
          <cell r="AY114">
            <v>1.7877228297393299</v>
          </cell>
          <cell r="BA114">
            <v>1.8044891866826647</v>
          </cell>
          <cell r="BC114">
            <v>1.8156768220810571</v>
          </cell>
          <cell r="BE114">
            <v>1.8257155945757049</v>
          </cell>
          <cell r="BG114">
            <v>1.8302866634929056</v>
          </cell>
          <cell r="BI114">
            <v>1.8390135661536302</v>
          </cell>
        </row>
        <row r="115">
          <cell r="K115">
            <v>0.30600696306685238</v>
          </cell>
          <cell r="M115">
            <v>0.524545759587284</v>
          </cell>
          <cell r="O115">
            <v>0.82359036223166704</v>
          </cell>
          <cell r="Q115">
            <v>0.91045193296010585</v>
          </cell>
          <cell r="S115">
            <v>1.0144963076080498</v>
          </cell>
          <cell r="U115">
            <v>1.1180153454965713</v>
          </cell>
          <cell r="W115">
            <v>1.2114641140368427</v>
          </cell>
          <cell r="Y115">
            <v>1.2649812472947559</v>
          </cell>
          <cell r="AA115">
            <v>1.3274450346444167</v>
          </cell>
          <cell r="AC115">
            <v>1.3791702934520995</v>
          </cell>
          <cell r="AE115">
            <v>1.4097468890348235</v>
          </cell>
          <cell r="AG115">
            <v>1.4546367873048995</v>
          </cell>
          <cell r="AI115">
            <v>1.5090798378126113</v>
          </cell>
          <cell r="AK115">
            <v>1.5885927304852874</v>
          </cell>
          <cell r="AM115">
            <v>1.6471564326727466</v>
          </cell>
          <cell r="AO115">
            <v>1.6839627332950451</v>
          </cell>
          <cell r="AQ115">
            <v>1.7098857081251697</v>
          </cell>
          <cell r="AS115">
            <v>1.7450633160640268</v>
          </cell>
          <cell r="AU115">
            <v>1.7589218801204647</v>
          </cell>
          <cell r="AW115">
            <v>1.771448679956539</v>
          </cell>
          <cell r="AY115">
            <v>1.8050493454689518</v>
          </cell>
          <cell r="BA115">
            <v>1.8215364698984855</v>
          </cell>
          <cell r="BC115">
            <v>1.8379113394514224</v>
          </cell>
          <cell r="BE115">
            <v>1.847851865097061</v>
          </cell>
          <cell r="BG115">
            <v>1.8576048149223512</v>
          </cell>
          <cell r="BI115">
            <v>1.8664634918855845</v>
          </cell>
        </row>
        <row r="116">
          <cell r="K116">
            <v>0.30600696306685238</v>
          </cell>
          <cell r="M116">
            <v>0.524545759587284</v>
          </cell>
          <cell r="O116">
            <v>0.82359036223166704</v>
          </cell>
          <cell r="Q116">
            <v>0.91045193296010585</v>
          </cell>
          <cell r="S116">
            <v>1.0144963076080498</v>
          </cell>
          <cell r="U116">
            <v>1.1180153454965713</v>
          </cell>
          <cell r="W116">
            <v>1.2114641140368427</v>
          </cell>
          <cell r="Y116">
            <v>1.2649812472947559</v>
          </cell>
          <cell r="AA116">
            <v>1.3273865293188973</v>
          </cell>
          <cell r="AC116">
            <v>1.3786883715013301</v>
          </cell>
          <cell r="AE116">
            <v>1.4095338222852152</v>
          </cell>
          <cell r="AG116">
            <v>1.4538286242481426</v>
          </cell>
          <cell r="AI116">
            <v>1.5091250093049839</v>
          </cell>
          <cell r="AK116">
            <v>1.5880142511038233</v>
          </cell>
          <cell r="AM116">
            <v>1.6480678120532555</v>
          </cell>
          <cell r="AO116">
            <v>1.6843665364612386</v>
          </cell>
          <cell r="AQ116">
            <v>1.7123409836218995</v>
          </cell>
          <cell r="AS116">
            <v>1.7471963656197329</v>
          </cell>
          <cell r="AU116">
            <v>1.7636610358047358</v>
          </cell>
          <cell r="AW116">
            <v>1.7760866852813892</v>
          </cell>
          <cell r="AY116">
            <v>1.812764451061357</v>
          </cell>
          <cell r="BA116">
            <v>1.8292114456272863</v>
          </cell>
          <cell r="BC116">
            <v>1.8490429820725767</v>
          </cell>
          <cell r="BE116">
            <v>1.8589447114016402</v>
          </cell>
          <cell r="BG116">
            <v>1.8724894854873277</v>
          </cell>
          <cell r="BI116">
            <v>1.8812252721355116</v>
          </cell>
        </row>
        <row r="117">
          <cell r="K117">
            <v>0.30600696306685238</v>
          </cell>
          <cell r="M117">
            <v>0.524545759587284</v>
          </cell>
          <cell r="O117">
            <v>0.82359036223166704</v>
          </cell>
          <cell r="Q117">
            <v>0.91045193296010585</v>
          </cell>
          <cell r="S117">
            <v>1.0144963076080498</v>
          </cell>
          <cell r="U117">
            <v>1.1180153454965713</v>
          </cell>
          <cell r="W117">
            <v>1.2114641140368427</v>
          </cell>
          <cell r="Y117">
            <v>1.2648653851379978</v>
          </cell>
          <cell r="AA117">
            <v>1.3264309423354144</v>
          </cell>
          <cell r="AC117">
            <v>1.3782949658272321</v>
          </cell>
          <cell r="AE117">
            <v>1.4072792787719122</v>
          </cell>
          <cell r="AG117">
            <v>1.4533846334330107</v>
          </cell>
          <cell r="AI117">
            <v>1.5056367662828605</v>
          </cell>
          <cell r="AK117">
            <v>1.5877366819349636</v>
          </cell>
          <cell r="AM117">
            <v>1.6438577148175881</v>
          </cell>
          <cell r="AO117">
            <v>1.6845786286605158</v>
          </cell>
          <cell r="AQ117">
            <v>1.7080526063150412</v>
          </cell>
          <cell r="AS117">
            <v>1.7485009482310525</v>
          </cell>
          <cell r="AU117">
            <v>1.7602099174361123</v>
          </cell>
          <cell r="AW117">
            <v>1.7791476119971983</v>
          </cell>
          <cell r="AY117">
            <v>1.8107427842851849</v>
          </cell>
          <cell r="BA117">
            <v>1.8343659916310295</v>
          </cell>
          <cell r="BC117">
            <v>1.8489364788977765</v>
          </cell>
          <cell r="BE117">
            <v>1.8665047228027505</v>
          </cell>
          <cell r="BG117">
            <v>1.8746263510748962</v>
          </cell>
          <cell r="BI117">
            <v>1.8915581565039545</v>
          </cell>
        </row>
        <row r="118">
          <cell r="K118">
            <v>0.30600696306685238</v>
          </cell>
          <cell r="M118">
            <v>0.524545759587284</v>
          </cell>
          <cell r="O118">
            <v>0.82359036223166704</v>
          </cell>
          <cell r="Q118">
            <v>0.91045193296010585</v>
          </cell>
          <cell r="S118">
            <v>1.0144963076080498</v>
          </cell>
          <cell r="U118">
            <v>1.1180153454965713</v>
          </cell>
          <cell r="W118">
            <v>1.2112350312998863</v>
          </cell>
          <cell r="Y118">
            <v>1.2629729699109444</v>
          </cell>
          <cell r="AA118">
            <v>1.3257093766540091</v>
          </cell>
          <cell r="AC118">
            <v>1.3743018982351409</v>
          </cell>
          <cell r="AE118">
            <v>1.4066103482789536</v>
          </cell>
          <cell r="AG118">
            <v>1.447258557916357</v>
          </cell>
          <cell r="AI118">
            <v>1.5050394987725975</v>
          </cell>
          <cell r="AK118">
            <v>1.5799369882900089</v>
          </cell>
          <cell r="AM118">
            <v>1.6433685814665877</v>
          </cell>
          <cell r="AO118">
            <v>1.6756341337639393</v>
          </cell>
          <cell r="AQ118">
            <v>1.7081963570588745</v>
          </cell>
          <cell r="AS118">
            <v>1.7394905475227964</v>
          </cell>
          <cell r="AU118">
            <v>1.7615720632151988</v>
          </cell>
          <cell r="AW118">
            <v>1.7704789534145149</v>
          </cell>
          <cell r="AY118">
            <v>1.8133064796686391</v>
          </cell>
          <cell r="BA118">
            <v>1.8264785975396629</v>
          </cell>
          <cell r="BC118">
            <v>1.8528855500095196</v>
          </cell>
          <cell r="BE118">
            <v>1.859675119184117</v>
          </cell>
          <cell r="BG118">
            <v>1.8803594704887969</v>
          </cell>
          <cell r="BI118">
            <v>1.8863407051057184</v>
          </cell>
        </row>
        <row r="119">
          <cell r="K119">
            <v>0.30600696306685238</v>
          </cell>
          <cell r="M119">
            <v>0.524545759587284</v>
          </cell>
          <cell r="O119">
            <v>0.82359036223166704</v>
          </cell>
          <cell r="Q119">
            <v>0.91045193296010585</v>
          </cell>
          <cell r="S119">
            <v>1.0144963076080498</v>
          </cell>
          <cell r="U119">
            <v>1.117563347484966</v>
          </cell>
          <cell r="W119">
            <v>1.2074933465962701</v>
          </cell>
          <cell r="Y119">
            <v>1.2616598654676829</v>
          </cell>
          <cell r="AA119">
            <v>1.3187472429172058</v>
          </cell>
          <cell r="AC119">
            <v>1.3733675597591584</v>
          </cell>
          <cell r="AE119">
            <v>1.3966953118611094</v>
          </cell>
          <cell r="AG119">
            <v>1.4465152474505749</v>
          </cell>
          <cell r="AI119">
            <v>1.4930138436920106</v>
          </cell>
          <cell r="AK119">
            <v>1.5792411728507996</v>
          </cell>
          <cell r="AM119">
            <v>1.6297714351124346</v>
          </cell>
          <cell r="AO119">
            <v>1.6757083341880119</v>
          </cell>
          <cell r="AQ119">
            <v>1.6945339601674951</v>
          </cell>
          <cell r="AS119">
            <v>1.7409004342061014</v>
          </cell>
          <cell r="AU119">
            <v>1.7477440683588306</v>
          </cell>
          <cell r="AW119">
            <v>1.7725293374603015</v>
          </cell>
          <cell r="AY119">
            <v>1.7995997090568321</v>
          </cell>
          <cell r="BA119">
            <v>1.829200391567912</v>
          </cell>
          <cell r="BC119">
            <v>1.8393683571847805</v>
          </cell>
          <cell r="BE119">
            <v>1.8635532064407601</v>
          </cell>
          <cell r="BG119">
            <v>1.867811928335219</v>
          </cell>
          <cell r="BI119">
            <v>1.8913799587981657</v>
          </cell>
        </row>
        <row r="120">
          <cell r="K120">
            <v>0.30600696306685238</v>
          </cell>
          <cell r="M120">
            <v>0.524545759587284</v>
          </cell>
          <cell r="O120">
            <v>0.82359036223166704</v>
          </cell>
          <cell r="Q120">
            <v>0.91045193296010585</v>
          </cell>
          <cell r="S120">
            <v>1.0136069821505516</v>
          </cell>
          <cell r="U120">
            <v>1.1101807132954125</v>
          </cell>
          <cell r="W120">
            <v>1.2051261583143895</v>
          </cell>
          <cell r="Y120">
            <v>1.2497646840404906</v>
          </cell>
          <cell r="AA120">
            <v>1.3176161399571651</v>
          </cell>
          <cell r="AC120">
            <v>1.3576805085045138</v>
          </cell>
          <cell r="AE120">
            <v>1.3958876402288714</v>
          </cell>
          <cell r="AG120">
            <v>1.428735660201917</v>
          </cell>
          <cell r="AI120">
            <v>1.4922271068665176</v>
          </cell>
          <cell r="AK120">
            <v>1.5599822884050836</v>
          </cell>
          <cell r="AM120">
            <v>1.6304082911734581</v>
          </cell>
          <cell r="AO120">
            <v>1.6574429285096539</v>
          </cell>
          <cell r="AQ120">
            <v>1.6971990254038352</v>
          </cell>
          <cell r="AS120">
            <v>1.7223545571501608</v>
          </cell>
          <cell r="AU120">
            <v>1.7504689237857478</v>
          </cell>
          <cell r="AW120">
            <v>1.7538704263999585</v>
          </cell>
          <cell r="AY120">
            <v>1.8024636069266613</v>
          </cell>
          <cell r="BA120">
            <v>1.8101280262745807</v>
          </cell>
          <cell r="BC120">
            <v>1.8431552960663626</v>
          </cell>
          <cell r="BE120">
            <v>1.8453493135100352</v>
          </cell>
          <cell r="BG120">
            <v>1.872133917502468</v>
          </cell>
          <cell r="BI120">
            <v>1.8739802347336618</v>
          </cell>
        </row>
        <row r="121">
          <cell r="K121">
            <v>0.30600696306685238</v>
          </cell>
          <cell r="M121">
            <v>0.524545759587284</v>
          </cell>
          <cell r="O121">
            <v>0.82359036223166704</v>
          </cell>
          <cell r="Q121">
            <v>0.90870902105453388</v>
          </cell>
          <cell r="S121">
            <v>0.99908133301141544</v>
          </cell>
          <cell r="U121">
            <v>1.1059620651870963</v>
          </cell>
          <cell r="W121">
            <v>1.185348682023843</v>
          </cell>
          <cell r="Y121">
            <v>1.2488377867864235</v>
          </cell>
          <cell r="AA121">
            <v>1.2934729422928435</v>
          </cell>
          <cell r="AC121">
            <v>1.3570117188585478</v>
          </cell>
          <cell r="AE121">
            <v>1.3704831466185321</v>
          </cell>
          <cell r="AG121">
            <v>1.4279150254930493</v>
          </cell>
          <cell r="AI121">
            <v>1.4659460816512746</v>
          </cell>
          <cell r="AK121">
            <v>1.5619454594357454</v>
          </cell>
          <cell r="AM121">
            <v>1.6076415587460473</v>
          </cell>
          <cell r="AO121">
            <v>1.6626764468323769</v>
          </cell>
          <cell r="AQ121">
            <v>1.6739138034135803</v>
          </cell>
          <cell r="AS121">
            <v>1.7263747327276053</v>
          </cell>
          <cell r="AU121">
            <v>1.7271043779748949</v>
          </cell>
          <cell r="AW121">
            <v>1.7575298751590529</v>
          </cell>
          <cell r="AY121">
            <v>1.7781377269720209</v>
          </cell>
          <cell r="BA121">
            <v>1.8149592029241757</v>
          </cell>
          <cell r="BC121">
            <v>1.8203593560733025</v>
          </cell>
          <cell r="BE121">
            <v>1.8500939907422806</v>
          </cell>
          <cell r="BG121">
            <v>1.8499628037937996</v>
          </cell>
          <cell r="BI121">
            <v>1.8788121095468122</v>
          </cell>
        </row>
        <row r="122">
          <cell r="K122">
            <v>0.30600696306685238</v>
          </cell>
          <cell r="M122">
            <v>0.524545759587284</v>
          </cell>
          <cell r="O122">
            <v>0.82019439834073604</v>
          </cell>
          <cell r="Q122">
            <v>0.88024145993019631</v>
          </cell>
          <cell r="S122">
            <v>0.99167028753226405</v>
          </cell>
          <cell r="U122">
            <v>1.0743222043747249</v>
          </cell>
          <cell r="W122">
            <v>1.1858832084100739</v>
          </cell>
          <cell r="Y122">
            <v>1.212920518191329</v>
          </cell>
          <cell r="AA122">
            <v>1.2932779245411123</v>
          </cell>
          <cell r="AC122">
            <v>1.3222739978357219</v>
          </cell>
          <cell r="AE122">
            <v>1.3696606098642279</v>
          </cell>
          <cell r="AG122">
            <v>1.393450862051032</v>
          </cell>
          <cell r="AI122">
            <v>1.4706376430396626</v>
          </cell>
          <cell r="AK122">
            <v>1.5358981162943517</v>
          </cell>
          <cell r="AM122">
            <v>1.6174239087645306</v>
          </cell>
          <cell r="AO122">
            <v>1.6345672243794234</v>
          </cell>
          <cell r="AQ122">
            <v>1.6792578452485667</v>
          </cell>
          <cell r="AS122">
            <v>1.6983599969914711</v>
          </cell>
          <cell r="AU122">
            <v>1.731673849443693</v>
          </cell>
          <cell r="AW122">
            <v>1.7276896030481441</v>
          </cell>
          <cell r="AY122">
            <v>1.7849077916712228</v>
          </cell>
          <cell r="BA122">
            <v>1.7885655409787646</v>
          </cell>
          <cell r="BC122">
            <v>1.8260371012111094</v>
          </cell>
          <cell r="BE122">
            <v>1.8240644798933556</v>
          </cell>
          <cell r="BG122">
            <v>1.8552821283729819</v>
          </cell>
          <cell r="BI122">
            <v>1.8539071761441384</v>
          </cell>
        </row>
        <row r="123">
          <cell r="K123">
            <v>0.30600696306685238</v>
          </cell>
          <cell r="M123">
            <v>0.51883963783883247</v>
          </cell>
          <cell r="O123">
            <v>0.4753175762270801</v>
          </cell>
          <cell r="Q123">
            <v>0.54284001691708939</v>
          </cell>
          <cell r="S123">
            <v>0.58991552134181457</v>
          </cell>
          <cell r="U123">
            <v>0.68466091787339456</v>
          </cell>
          <cell r="W123">
            <v>0.71604458748987776</v>
          </cell>
          <cell r="Y123">
            <v>0.76662697923917145</v>
          </cell>
          <cell r="AA123">
            <v>0.78419113524612394</v>
          </cell>
          <cell r="AC123">
            <v>0.83101402490594312</v>
          </cell>
          <cell r="AE123">
            <v>0.82743283912110799</v>
          </cell>
          <cell r="AG123">
            <v>0.87806723979258783</v>
          </cell>
          <cell r="AI123">
            <v>0.90246313922102617</v>
          </cell>
          <cell r="AK123">
            <v>0.97631627309110058</v>
          </cell>
          <cell r="AM123">
            <v>0.9931885246868225</v>
          </cell>
          <cell r="AO123">
            <v>1.0285311413220581</v>
          </cell>
          <cell r="AQ123">
            <v>1.0284075040405209</v>
          </cell>
          <cell r="AS123">
            <v>1.064777587117298</v>
          </cell>
          <cell r="AU123">
            <v>1.0546521798919311</v>
          </cell>
          <cell r="AW123">
            <v>1.0806918601966711</v>
          </cell>
          <cell r="AY123">
            <v>1.0904337088766223</v>
          </cell>
          <cell r="BA123">
            <v>1.7950585086798196</v>
          </cell>
          <cell r="BC123">
            <v>1.7969093626681358</v>
          </cell>
          <cell r="BE123">
            <v>1.8299323427002692</v>
          </cell>
          <cell r="BG123">
            <v>1.8277590165368007</v>
          </cell>
          <cell r="BI123">
            <v>1.8596144308097786</v>
          </cell>
        </row>
        <row r="124">
          <cell r="G124">
            <v>-0.25667670537231302</v>
          </cell>
          <cell r="I124">
            <v>-0.31235209685226822</v>
          </cell>
          <cell r="K124">
            <v>0.29662890192619956</v>
          </cell>
          <cell r="M124">
            <v>0.42563964928079162</v>
          </cell>
          <cell r="O124">
            <v>0.74321921681296899</v>
          </cell>
          <cell r="Q124">
            <v>0.80239139481466104</v>
          </cell>
          <cell r="S124">
            <v>0.96172966379649294</v>
          </cell>
          <cell r="U124">
            <v>1.0101384867267704</v>
          </cell>
          <cell r="W124">
            <v>1.1351795626304479</v>
          </cell>
          <cell r="Y124">
            <v>1.1607825476500624</v>
          </cell>
          <cell r="AA124">
            <v>1.2468246960787426</v>
          </cell>
          <cell r="AC124">
            <v>1.2705804922592863</v>
          </cell>
          <cell r="AE124">
            <v>1.347580948555924</v>
          </cell>
          <cell r="AG124">
            <v>1.3873148092126903</v>
          </cell>
          <cell r="AI124">
            <v>1.4752338423885969</v>
          </cell>
          <cell r="AK124">
            <v>1.5133910417339591</v>
          </cell>
          <cell r="AM124">
            <v>1.5852165539611376</v>
          </cell>
          <cell r="AO124">
            <v>1.6033065538723341</v>
          </cell>
          <cell r="AQ124">
            <v>1.6515193883130859</v>
          </cell>
          <cell r="AS124">
            <v>1.6594896916165214</v>
          </cell>
          <cell r="AU124">
            <v>1.7105991141859314</v>
          </cell>
          <cell r="AW124">
            <v>1.7109329559215622</v>
          </cell>
          <cell r="AY124">
            <v>1.76277916618821</v>
          </cell>
          <cell r="BA124">
            <v>1.7633575031361539</v>
          </cell>
          <cell r="BC124">
            <v>1.8029368325782835</v>
          </cell>
          <cell r="BE124">
            <v>1.8010507230070125</v>
          </cell>
          <cell r="BG124">
            <v>1.8338277007513208</v>
          </cell>
          <cell r="BI124">
            <v>1.8294276527779609</v>
          </cell>
        </row>
        <row r="125">
          <cell r="G125">
            <v>0.30600696306685238</v>
          </cell>
          <cell r="I125">
            <v>0.18217845468019442</v>
          </cell>
          <cell r="K125">
            <v>0.22473043318119504</v>
          </cell>
          <cell r="M125">
            <v>0.4941131102622095</v>
          </cell>
          <cell r="O125">
            <v>0.65379216768512183</v>
          </cell>
          <cell r="Q125">
            <v>0.85932651706333618</v>
          </cell>
          <cell r="S125">
            <v>0.92022780911324609</v>
          </cell>
          <cell r="U125">
            <v>1.0348477113611938</v>
          </cell>
          <cell r="W125">
            <v>1.0822614503935797</v>
          </cell>
          <cell r="Y125">
            <v>1.1865039464504203</v>
          </cell>
          <cell r="AA125">
            <v>1.1959640664272482</v>
          </cell>
          <cell r="AC125">
            <v>1.2880083636218138</v>
          </cell>
          <cell r="AE125">
            <v>1.3227760148689027</v>
          </cell>
          <cell r="AG125">
            <v>1.4319433691247248</v>
          </cell>
          <cell r="AI125">
            <v>1.4622947193511378</v>
          </cell>
          <cell r="AK125">
            <v>1.5288592145076805</v>
          </cell>
          <cell r="AM125">
            <v>1.5454059176128678</v>
          </cell>
          <cell r="AO125">
            <v>1.6178679890254632</v>
          </cell>
          <cell r="AQ125">
            <v>1.6174337923749289</v>
          </cell>
          <cell r="AS125">
            <v>1.6633369622419276</v>
          </cell>
          <cell r="AU125">
            <v>1.6884244925293466</v>
          </cell>
          <cell r="AW125">
            <v>1.7293020674216171</v>
          </cell>
          <cell r="AY125">
            <v>1.7331833345040122</v>
          </cell>
          <cell r="BA125">
            <v>1.7742154037799502</v>
          </cell>
          <cell r="BC125">
            <v>1.7744515047345477</v>
          </cell>
          <cell r="BE125">
            <v>1.8126483276240817</v>
          </cell>
          <cell r="BG125">
            <v>1.8064884907941907</v>
          </cell>
          <cell r="BI125">
            <v>1.8378866118519599</v>
          </cell>
        </row>
        <row r="126">
          <cell r="G126">
            <v>0.30600696306685238</v>
          </cell>
          <cell r="I126">
            <v>0.524545759587284</v>
          </cell>
          <cell r="K126">
            <v>0.42792175789533821</v>
          </cell>
          <cell r="M126">
            <v>0.53595800308418706</v>
          </cell>
          <cell r="O126">
            <v>0.76812295201312897</v>
          </cell>
          <cell r="Q126">
            <v>0.85235486944104921</v>
          </cell>
          <cell r="S126">
            <v>0.99848844937308279</v>
          </cell>
          <cell r="U126">
            <v>1.0288210712064565</v>
          </cell>
          <cell r="W126">
            <v>1.1325832916116116</v>
          </cell>
          <cell r="Y126">
            <v>1.168120484244759</v>
          </cell>
          <cell r="AA126">
            <v>1.2372298226935681</v>
          </cell>
          <cell r="AC126">
            <v>1.2643253420411336</v>
          </cell>
          <cell r="AE126">
            <v>1.3549342289377739</v>
          </cell>
          <cell r="AG126">
            <v>1.4173964341030956</v>
          </cell>
          <cell r="AI126">
            <v>1.5040532545224568</v>
          </cell>
          <cell r="AK126">
            <v>1.5206532605337586</v>
          </cell>
          <cell r="AM126">
            <v>1.5734082472049724</v>
          </cell>
          <cell r="AO126">
            <v>1.597088924560393</v>
          </cell>
          <cell r="AQ126">
            <v>1.6412688729529001</v>
          </cell>
          <cell r="AS126">
            <v>1.6420634729479255</v>
          </cell>
          <cell r="AU126">
            <v>1.7047193728624541</v>
          </cell>
          <cell r="AW126">
            <v>1.7127815476573065</v>
          </cell>
          <cell r="AY126">
            <v>1.7539711607807427</v>
          </cell>
          <cell r="BA126">
            <v>1.7544322218102337</v>
          </cell>
          <cell r="BC126">
            <v>1.7915589411013506</v>
          </cell>
          <cell r="BE126">
            <v>1.7923436041133043</v>
          </cell>
          <cell r="BG126">
            <v>1.8226695149625662</v>
          </cell>
          <cell r="BI126">
            <v>1.8175036848148673</v>
          </cell>
        </row>
        <row r="127">
          <cell r="G127">
            <v>0.30600696306685238</v>
          </cell>
          <cell r="I127">
            <v>0.524545759587284</v>
          </cell>
          <cell r="K127">
            <v>0.56859267500512944</v>
          </cell>
          <cell r="M127">
            <v>0.65959064096730258</v>
          </cell>
          <cell r="O127">
            <v>0.84396614557725269</v>
          </cell>
          <cell r="Q127">
            <v>0.94879599488268318</v>
          </cell>
          <cell r="S127">
            <v>1.0281326312896883</v>
          </cell>
          <cell r="U127">
            <v>1.1034007431213324</v>
          </cell>
          <cell r="W127">
            <v>1.1491536095847728</v>
          </cell>
          <cell r="Y127">
            <v>1.2241205266779709</v>
          </cell>
          <cell r="AA127">
            <v>1.2411301777281918</v>
          </cell>
          <cell r="AC127">
            <v>1.3107275413009551</v>
          </cell>
          <cell r="AE127">
            <v>1.3508413653290086</v>
          </cell>
          <cell r="AG127">
            <v>1.4557791906382165</v>
          </cell>
          <cell r="AI127">
            <v>1.5006704116492036</v>
          </cell>
          <cell r="AK127">
            <v>1.5609102526037033</v>
          </cell>
          <cell r="AM127">
            <v>1.5718506602184916</v>
          </cell>
          <cell r="AO127">
            <v>1.6299972107071437</v>
          </cell>
          <cell r="AQ127">
            <v>1.6329728240464125</v>
          </cell>
          <cell r="AS127">
            <v>1.6706884626362886</v>
          </cell>
          <cell r="AU127">
            <v>1.6939638786515776</v>
          </cell>
          <cell r="AW127">
            <v>1.7358577033462395</v>
          </cell>
          <cell r="AY127">
            <v>1.7441168857070888</v>
          </cell>
          <cell r="BA127">
            <v>1.7776947464735264</v>
          </cell>
          <cell r="BC127">
            <v>1.7795403984553257</v>
          </cell>
          <cell r="BE127">
            <v>1.8130286256652652</v>
          </cell>
          <cell r="BG127">
            <v>1.809337515040583</v>
          </cell>
          <cell r="BI127">
            <v>1.836582662202741</v>
          </cell>
        </row>
        <row r="128">
          <cell r="G128">
            <v>0.30600696306685238</v>
          </cell>
          <cell r="I128">
            <v>0.524545759587284</v>
          </cell>
          <cell r="K128">
            <v>0.56859267500512944</v>
          </cell>
          <cell r="M128">
            <v>0.7451824671940751</v>
          </cell>
          <cell r="O128">
            <v>0.91754536321408875</v>
          </cell>
          <cell r="Q128">
            <v>1.013864706024026</v>
          </cell>
          <cell r="S128">
            <v>1.0966106915170459</v>
          </cell>
          <cell r="U128">
            <v>1.1421219061155212</v>
          </cell>
          <cell r="W128">
            <v>1.2095550912288744</v>
          </cell>
          <cell r="Y128">
            <v>1.2502281326675235</v>
          </cell>
          <cell r="AA128">
            <v>1.2918737967286473</v>
          </cell>
          <cell r="AC128">
            <v>1.3262867357115184</v>
          </cell>
          <cell r="AE128">
            <v>1.394931317375975</v>
          </cell>
          <cell r="AG128">
            <v>1.4636014108418909</v>
          </cell>
          <cell r="AI128">
            <v>1.5389846205270954</v>
          </cell>
          <cell r="AK128">
            <v>1.5660165790521905</v>
          </cell>
          <cell r="AM128">
            <v>1.6093641450255916</v>
          </cell>
          <cell r="AO128">
            <v>1.634253942546031</v>
          </cell>
          <cell r="AQ128">
            <v>1.6661652545592449</v>
          </cell>
          <cell r="AS128">
            <v>1.670528520037623</v>
          </cell>
          <cell r="AU128">
            <v>1.7236663695545591</v>
          </cell>
          <cell r="AW128">
            <v>1.7327314809286345</v>
          </cell>
          <cell r="AY128">
            <v>1.7697174049871478</v>
          </cell>
          <cell r="BA128">
            <v>1.7735071956074613</v>
          </cell>
          <cell r="BC128">
            <v>1.8036954512612431</v>
          </cell>
          <cell r="BE128">
            <v>1.8067347874849917</v>
          </cell>
          <cell r="BG128">
            <v>1.8312258560918826</v>
          </cell>
          <cell r="BI128">
            <v>1.8284585202691199</v>
          </cell>
        </row>
        <row r="129">
          <cell r="G129">
            <v>0.30600696306685238</v>
          </cell>
          <cell r="I129">
            <v>0.524545759587284</v>
          </cell>
          <cell r="K129">
            <v>0.56859267500512944</v>
          </cell>
          <cell r="M129">
            <v>0.7451824671940751</v>
          </cell>
          <cell r="O129">
            <v>0.96848482157805238</v>
          </cell>
          <cell r="Q129">
            <v>1.051627797311413</v>
          </cell>
          <cell r="S129">
            <v>1.143152057126116</v>
          </cell>
          <cell r="U129">
            <v>1.1867190432605783</v>
          </cell>
          <cell r="W129">
            <v>1.2446047499831643</v>
          </cell>
          <cell r="Y129">
            <v>1.2947192008627373</v>
          </cell>
          <cell r="AA129">
            <v>1.3188252500178987</v>
          </cell>
          <cell r="AC129">
            <v>1.367397628654726</v>
          </cell>
          <cell r="AE129">
            <v>1.4145631885841214</v>
          </cell>
          <cell r="AG129">
            <v>1.5013830337452878</v>
          </cell>
          <cell r="AI129">
            <v>1.5525241479840106</v>
          </cell>
          <cell r="AK129">
            <v>1.6004121303665457</v>
          </cell>
          <cell r="AM129">
            <v>1.619396292244716</v>
          </cell>
          <cell r="AO129">
            <v>1.6674513874269319</v>
          </cell>
          <cell r="AQ129">
            <v>1.6741426613135928</v>
          </cell>
          <cell r="AS129">
            <v>1.701094331192968</v>
          </cell>
          <cell r="AU129">
            <v>1.728190409313163</v>
          </cell>
          <cell r="AW129">
            <v>1.7606957922714359</v>
          </cell>
          <cell r="AY129">
            <v>1.7712211867492058</v>
          </cell>
          <cell r="BA129">
            <v>1.7984214203636444</v>
          </cell>
          <cell r="BC129">
            <v>1.8031590430160622</v>
          </cell>
          <cell r="BE129">
            <v>1.8297190123457758</v>
          </cell>
          <cell r="BG129">
            <v>1.8283472950346356</v>
          </cell>
          <cell r="BI129">
            <v>1.8492797554987341</v>
          </cell>
        </row>
        <row r="130">
          <cell r="G130">
            <v>0.30600696306685238</v>
          </cell>
          <cell r="I130">
            <v>0.524545759587284</v>
          </cell>
          <cell r="K130">
            <v>0.56859267500512944</v>
          </cell>
          <cell r="M130">
            <v>0.7451824671940751</v>
          </cell>
          <cell r="O130">
            <v>0.96848482157805238</v>
          </cell>
          <cell r="Q130">
            <v>1.0777714758949881</v>
          </cell>
          <cell r="S130">
            <v>1.1624207753719091</v>
          </cell>
          <cell r="U130">
            <v>1.2171535760420025</v>
          </cell>
          <cell r="W130">
            <v>1.2721710393302197</v>
          </cell>
          <cell r="Y130">
            <v>1.3219854284198742</v>
          </cell>
          <cell r="AA130">
            <v>1.34959905124108</v>
          </cell>
          <cell r="AC130">
            <v>1.3908052662635384</v>
          </cell>
          <cell r="AE130">
            <v>1.4455272378470452</v>
          </cell>
          <cell r="AG130">
            <v>1.5204758859611756</v>
          </cell>
          <cell r="AI130">
            <v>1.5826240464502717</v>
          </cell>
          <cell r="AK130">
            <v>1.6152699663882875</v>
          </cell>
          <cell r="AM130">
            <v>1.6479742966037776</v>
          </cell>
          <cell r="AO130">
            <v>1.6790823835143622</v>
          </cell>
          <cell r="AQ130">
            <v>1.7018443011091757</v>
          </cell>
          <cell r="AS130">
            <v>1.7102697310216401</v>
          </cell>
          <cell r="AU130">
            <v>1.7542287804296401</v>
          </cell>
          <cell r="AW130">
            <v>1.7668201461960462</v>
          </cell>
          <cell r="AY130">
            <v>1.7953027068865206</v>
          </cell>
          <cell r="BA130">
            <v>1.8015391161636809</v>
          </cell>
          <cell r="BC130">
            <v>1.824852931052634</v>
          </cell>
          <cell r="BE130">
            <v>1.8302698574034328</v>
          </cell>
          <cell r="BG130">
            <v>1.848004745047837</v>
          </cell>
          <cell r="BI130">
            <v>1.847188956401129</v>
          </cell>
        </row>
        <row r="131">
          <cell r="G131">
            <v>0.30600696306685238</v>
          </cell>
          <cell r="I131">
            <v>0.524545759587284</v>
          </cell>
          <cell r="K131">
            <v>0.56859267500512944</v>
          </cell>
          <cell r="M131">
            <v>0.7451824671940751</v>
          </cell>
          <cell r="O131">
            <v>0.96848482157805238</v>
          </cell>
          <cell r="Q131">
            <v>1.0777714758949881</v>
          </cell>
          <cell r="S131">
            <v>1.1757606572343813</v>
          </cell>
          <cell r="U131">
            <v>1.2269468662934508</v>
          </cell>
          <cell r="W131">
            <v>1.2910321846729418</v>
          </cell>
          <cell r="Y131">
            <v>1.3384378546795623</v>
          </cell>
          <cell r="AA131">
            <v>1.3690618228638534</v>
          </cell>
          <cell r="AC131">
            <v>1.4111541747562411</v>
          </cell>
          <cell r="AE131">
            <v>1.4638237255896203</v>
          </cell>
          <cell r="AG131">
            <v>1.5425295083880837</v>
          </cell>
          <cell r="AI131">
            <v>1.5986373404964378</v>
          </cell>
          <cell r="AK131">
            <v>1.6377451835781627</v>
          </cell>
          <cell r="AM131">
            <v>1.6610978426815901</v>
          </cell>
          <cell r="AO131">
            <v>1.7010552627422595</v>
          </cell>
          <cell r="AQ131">
            <v>1.7121463844503255</v>
          </cell>
          <cell r="AS131">
            <v>1.7315929026483852</v>
          </cell>
          <cell r="AU131">
            <v>1.7619123277946847</v>
          </cell>
          <cell r="AW131">
            <v>1.7868678310630284</v>
          </cell>
          <cell r="AY131">
            <v>1.8000159953782877</v>
          </cell>
          <cell r="BA131">
            <v>1.8198928989862708</v>
          </cell>
          <cell r="BC131">
            <v>1.8264881652366876</v>
          </cell>
          <cell r="BE131">
            <v>1.846504046878428</v>
          </cell>
          <cell r="BG131">
            <v>1.8467114161327061</v>
          </cell>
          <cell r="BI131">
            <v>1.8612925004664926</v>
          </cell>
        </row>
        <row r="132">
          <cell r="G132">
            <v>0.30600696306685238</v>
          </cell>
          <cell r="I132">
            <v>0.524545759587284</v>
          </cell>
          <cell r="K132">
            <v>0.56859267500512944</v>
          </cell>
          <cell r="M132">
            <v>0.7451824671940751</v>
          </cell>
          <cell r="O132">
            <v>0.96848482157805238</v>
          </cell>
          <cell r="Q132">
            <v>1.0777714758949881</v>
          </cell>
          <cell r="S132">
            <v>1.1757606572343813</v>
          </cell>
          <cell r="U132">
            <v>1.2337268364675305</v>
          </cell>
          <cell r="W132">
            <v>1.295995643973658</v>
          </cell>
          <cell r="Y132">
            <v>1.3497151046040443</v>
          </cell>
          <cell r="AA132">
            <v>1.3786371944738545</v>
          </cell>
          <cell r="AC132">
            <v>1.4240627984375718</v>
          </cell>
          <cell r="AE132">
            <v>1.476669668574758</v>
          </cell>
          <cell r="AG132">
            <v>1.5552693010189091</v>
          </cell>
          <cell r="AI132">
            <v>1.6132415349333058</v>
          </cell>
          <cell r="AK132">
            <v>1.6490034521510111</v>
          </cell>
          <cell r="AM132">
            <v>1.6762647805808839</v>
          </cell>
          <cell r="AO132">
            <v>1.7099417985093042</v>
          </cell>
          <cell r="AQ132">
            <v>1.7269253680426917</v>
          </cell>
          <cell r="AS132">
            <v>1.7377291924467886</v>
          </cell>
          <cell r="AU132">
            <v>1.775834720320175</v>
          </cell>
          <cell r="AW132">
            <v>1.7901404914428298</v>
          </cell>
          <cell r="AY132">
            <v>1.812534183663508</v>
          </cell>
          <cell r="BA132">
            <v>1.8200366436873294</v>
          </cell>
          <cell r="BC132">
            <v>1.8371782447854119</v>
          </cell>
          <cell r="BE132">
            <v>1.8433728921045056</v>
          </cell>
          <cell r="BG132">
            <v>1.855195567160312</v>
          </cell>
          <cell r="BI132">
            <v>1.8549145604594037</v>
          </cell>
        </row>
        <row r="133">
          <cell r="G133">
            <v>0.30600696306685238</v>
          </cell>
          <cell r="I133">
            <v>0.524545759587284</v>
          </cell>
          <cell r="K133">
            <v>0.56859267500512944</v>
          </cell>
          <cell r="M133">
            <v>0.7451824671940751</v>
          </cell>
          <cell r="O133">
            <v>0.96848482157805238</v>
          </cell>
          <cell r="Q133">
            <v>1.0777714758949881</v>
          </cell>
          <cell r="S133">
            <v>1.1757606572343813</v>
          </cell>
          <cell r="U133">
            <v>1.2337268364675305</v>
          </cell>
          <cell r="W133">
            <v>1.2994318850280002</v>
          </cell>
          <cell r="Y133">
            <v>1.3522254513338083</v>
          </cell>
          <cell r="AA133">
            <v>1.384770502765801</v>
          </cell>
          <cell r="AC133">
            <v>1.4292114951973249</v>
          </cell>
          <cell r="AE133">
            <v>1.4836810511490963</v>
          </cell>
          <cell r="AG133">
            <v>1.5622471903747051</v>
          </cell>
          <cell r="AI133">
            <v>1.6196213808491291</v>
          </cell>
          <cell r="AK133">
            <v>1.6567107278795155</v>
          </cell>
          <cell r="AM133">
            <v>1.6808330895382835</v>
          </cell>
          <cell r="AO133">
            <v>1.7174026033812018</v>
          </cell>
          <cell r="AQ133">
            <v>1.7288481741545902</v>
          </cell>
          <cell r="AS133">
            <v>1.7441504132326526</v>
          </cell>
          <cell r="AU133">
            <v>1.7746745201039609</v>
          </cell>
          <cell r="AW133">
            <v>1.7950506665895123</v>
          </cell>
          <cell r="AY133">
            <v>1.8081075398485855</v>
          </cell>
          <cell r="BA133">
            <v>1.8230040017387097</v>
          </cell>
          <cell r="BC133">
            <v>1.8292969818199762</v>
          </cell>
          <cell r="BE133">
            <v>1.8440653614822378</v>
          </cell>
          <cell r="BG133">
            <v>1.8437626307970227</v>
          </cell>
          <cell r="BI133">
            <v>1.8530668009767444</v>
          </cell>
        </row>
        <row r="134">
          <cell r="G134">
            <v>0.30600696306685238</v>
          </cell>
          <cell r="I134">
            <v>0.524545759587284</v>
          </cell>
          <cell r="K134">
            <v>0.56859267500512944</v>
          </cell>
          <cell r="M134">
            <v>0.7451824671940751</v>
          </cell>
          <cell r="O134">
            <v>0.96848482157805238</v>
          </cell>
          <cell r="Q134">
            <v>1.0777714758949881</v>
          </cell>
          <cell r="S134">
            <v>1.1757606572343813</v>
          </cell>
          <cell r="U134">
            <v>1.2337268364675305</v>
          </cell>
          <cell r="W134">
            <v>1.2994318850280002</v>
          </cell>
          <cell r="Y134">
            <v>1.3530944175094961</v>
          </cell>
          <cell r="AA134">
            <v>1.3854043104589271</v>
          </cell>
          <cell r="AC134">
            <v>1.4302195972372</v>
          </cell>
          <cell r="AE134">
            <v>1.4846968344902547</v>
          </cell>
          <cell r="AG134">
            <v>1.5621898207749978</v>
          </cell>
          <cell r="AI134">
            <v>1.620347261636286</v>
          </cell>
          <cell r="AK134">
            <v>1.654543480425841</v>
          </cell>
          <cell r="AM134">
            <v>1.6805195750313877</v>
          </cell>
          <cell r="AO134">
            <v>1.7123455101011209</v>
          </cell>
          <cell r="AQ134">
            <v>1.7268617275576583</v>
          </cell>
          <cell r="AS134">
            <v>1.7357020890610684</v>
          </cell>
          <cell r="AU134">
            <v>1.7705395095020759</v>
          </cell>
          <cell r="AW134">
            <v>1.7829524833667896</v>
          </cell>
          <cell r="AY134">
            <v>1.8015066297896327</v>
          </cell>
          <cell r="BA134">
            <v>1.807141242302077</v>
          </cell>
          <cell r="BC134">
            <v>1.8199882404598209</v>
          </cell>
          <cell r="BE134">
            <v>1.8243867604094475</v>
          </cell>
          <cell r="BG134">
            <v>1.831591540519298</v>
          </cell>
          <cell r="BI134">
            <v>1.8296032037393268</v>
          </cell>
        </row>
        <row r="135">
          <cell r="G135">
            <v>0.30600696306685238</v>
          </cell>
          <cell r="I135">
            <v>0.524545759587284</v>
          </cell>
          <cell r="K135">
            <v>0.56859267500512944</v>
          </cell>
          <cell r="M135">
            <v>0.7451824671940751</v>
          </cell>
          <cell r="O135">
            <v>0.96848482157805238</v>
          </cell>
          <cell r="Q135">
            <v>1.0777714758949881</v>
          </cell>
          <cell r="S135">
            <v>1.1757606572343813</v>
          </cell>
          <cell r="U135">
            <v>1.2337268364675305</v>
          </cell>
          <cell r="W135">
            <v>1.2977137645008294</v>
          </cell>
          <cell r="Y135">
            <v>1.3518392441446143</v>
          </cell>
          <cell r="AA135">
            <v>1.3812699341222259</v>
          </cell>
          <cell r="AC135">
            <v>1.4270871045571976</v>
          </cell>
          <cell r="AE135">
            <v>1.4775714859800797</v>
          </cell>
          <cell r="AG135">
            <v>1.5566549015683799</v>
          </cell>
          <cell r="AI135">
            <v>1.6096566751080519</v>
          </cell>
          <cell r="AK135">
            <v>1.6462123049064215</v>
          </cell>
          <cell r="AM135">
            <v>1.6658832976826918</v>
          </cell>
          <cell r="AO135">
            <v>1.7009285169535024</v>
          </cell>
          <cell r="AQ135">
            <v>1.7081079319628338</v>
          </cell>
          <cell r="AS135">
            <v>1.7210406641178413</v>
          </cell>
          <cell r="AU135">
            <v>1.7475845740570806</v>
          </cell>
          <cell r="AW135">
            <v>1.7648818903177308</v>
          </cell>
          <cell r="AY135">
            <v>1.7743009732897117</v>
          </cell>
          <cell r="BA135">
            <v>1.7856077936061323</v>
          </cell>
          <cell r="BC135">
            <v>1.7886146222224224</v>
          </cell>
          <cell r="BE135">
            <v>1.7994118504756205</v>
          </cell>
          <cell r="BG135">
            <v>1.7962062311014306</v>
          </cell>
          <cell r="BI135">
            <v>1.8013060687795006</v>
          </cell>
        </row>
        <row r="136">
          <cell r="G136">
            <v>0.30600696306685238</v>
          </cell>
          <cell r="I136">
            <v>0.524545759587284</v>
          </cell>
          <cell r="K136">
            <v>0.56859267500512944</v>
          </cell>
          <cell r="M136">
            <v>0.7451824671940751</v>
          </cell>
          <cell r="O136">
            <v>0.96848482157805238</v>
          </cell>
          <cell r="Q136">
            <v>1.0777714758949881</v>
          </cell>
          <cell r="S136">
            <v>1.1757606572343813</v>
          </cell>
          <cell r="U136">
            <v>1.2303368513804909</v>
          </cell>
          <cell r="W136">
            <v>1.2952320348504709</v>
          </cell>
          <cell r="Y136">
            <v>1.3427826855580012</v>
          </cell>
          <cell r="AA136">
            <v>1.374424811036461</v>
          </cell>
          <cell r="AC136">
            <v>1.4119360685335103</v>
          </cell>
          <cell r="AE136">
            <v>1.4655604673509663</v>
          </cell>
          <cell r="AG136">
            <v>1.5354605759718811</v>
          </cell>
          <cell r="AI136">
            <v>1.5923597578202924</v>
          </cell>
          <cell r="AK136">
            <v>1.6192530839614221</v>
          </cell>
          <cell r="AM136">
            <v>1.6434671689404445</v>
          </cell>
          <cell r="AO136">
            <v>1.6686357281012782</v>
          </cell>
          <cell r="AQ136">
            <v>1.6808854746384216</v>
          </cell>
          <cell r="AS136">
            <v>1.6837446425797371</v>
          </cell>
          <cell r="AU136">
            <v>1.7156997298729952</v>
          </cell>
          <cell r="AW136">
            <v>1.7227393998076166</v>
          </cell>
          <cell r="AY136">
            <v>1.7379615286969146</v>
          </cell>
          <cell r="BA136">
            <v>1.7388965253082782</v>
          </cell>
          <cell r="BC136">
            <v>1.7481034033690726</v>
          </cell>
          <cell r="BE136">
            <v>1.7484935162786961</v>
          </cell>
          <cell r="BG136">
            <v>1.7519144437544487</v>
          </cell>
          <cell r="BI136">
            <v>1.7464899678884287</v>
          </cell>
        </row>
        <row r="137">
          <cell r="G137">
            <v>0.30600696306685238</v>
          </cell>
          <cell r="I137">
            <v>0.524545759587284</v>
          </cell>
          <cell r="K137">
            <v>0.56859267500512944</v>
          </cell>
          <cell r="M137">
            <v>0.7451824671940751</v>
          </cell>
          <cell r="O137">
            <v>0.96848482157805238</v>
          </cell>
          <cell r="Q137">
            <v>1.0777714758949881</v>
          </cell>
          <cell r="S137">
            <v>1.1690907163031448</v>
          </cell>
          <cell r="U137">
            <v>1.2254402062547665</v>
          </cell>
          <cell r="W137">
            <v>1.2790435214389038</v>
          </cell>
          <cell r="Y137">
            <v>1.3304819865821544</v>
          </cell>
          <cell r="AA137">
            <v>1.3485167027189719</v>
          </cell>
          <cell r="AC137">
            <v>1.3912281773631934</v>
          </cell>
          <cell r="AE137">
            <v>1.4305828351302938</v>
          </cell>
          <cell r="AG137">
            <v>1.5066111503099884</v>
          </cell>
          <cell r="AI137">
            <v>1.5494273912291179</v>
          </cell>
          <cell r="AK137">
            <v>1.582975739850002</v>
          </cell>
          <cell r="AM137">
            <v>1.5938130012796257</v>
          </cell>
          <cell r="AO137">
            <v>1.625836732422659</v>
          </cell>
          <cell r="AQ137">
            <v>1.6253370851473334</v>
          </cell>
          <cell r="AS137">
            <v>1.6348662967947307</v>
          </cell>
          <cell r="AU137">
            <v>1.6546526414567657</v>
          </cell>
          <cell r="AW137">
            <v>1.6683590318664059</v>
          </cell>
          <cell r="AY137">
            <v>1.6720191504688602</v>
          </cell>
          <cell r="BA137">
            <v>1.6796311922728386</v>
          </cell>
          <cell r="BC137">
            <v>1.6779051084123862</v>
          </cell>
          <cell r="BE137">
            <v>1.6851022512162963</v>
          </cell>
          <cell r="BG137">
            <v>1.6779220793947294</v>
          </cell>
          <cell r="BI137">
            <v>1.6795231678669815</v>
          </cell>
        </row>
        <row r="138">
          <cell r="G138">
            <v>0.30600696306685238</v>
          </cell>
          <cell r="I138">
            <v>0.524545759587284</v>
          </cell>
          <cell r="K138">
            <v>0.56859267500512944</v>
          </cell>
          <cell r="M138">
            <v>0.7451824671940751</v>
          </cell>
          <cell r="O138">
            <v>0.96848482157805238</v>
          </cell>
          <cell r="Q138">
            <v>1.0646996366032007</v>
          </cell>
          <cell r="S138">
            <v>1.1594563571802488</v>
          </cell>
          <cell r="U138">
            <v>1.1968889985216979</v>
          </cell>
          <cell r="W138">
            <v>1.2572043005157518</v>
          </cell>
          <cell r="Y138">
            <v>1.288230920084269</v>
          </cell>
          <cell r="AA138">
            <v>1.3143008381777348</v>
          </cell>
          <cell r="AC138">
            <v>1.3369529470504922</v>
          </cell>
          <cell r="AE138">
            <v>1.385283853155314</v>
          </cell>
          <cell r="AG138">
            <v>1.4424607133494669</v>
          </cell>
          <cell r="AI138">
            <v>1.4945672411241646</v>
          </cell>
          <cell r="AK138">
            <v>1.511122229198042</v>
          </cell>
          <cell r="AM138">
            <v>1.5310222904785262</v>
          </cell>
          <cell r="AO138">
            <v>1.5474998735515118</v>
          </cell>
          <cell r="AQ138">
            <v>1.5551827246387695</v>
          </cell>
          <cell r="AS138">
            <v>1.5505083444511198</v>
          </cell>
          <cell r="AU138">
            <v>1.5781418756499466</v>
          </cell>
          <cell r="AW138">
            <v>1.5790303695798331</v>
          </cell>
          <cell r="AY138">
            <v>1.5901762056529813</v>
          </cell>
          <cell r="BA138">
            <v>1.5863334242429283</v>
          </cell>
          <cell r="BC138">
            <v>1.5919634066481927</v>
          </cell>
          <cell r="BE138">
            <v>1.5883990372879797</v>
          </cell>
          <cell r="BG138">
            <v>1.5885912141340428</v>
          </cell>
          <cell r="BI138">
            <v>1.5800586457252019</v>
          </cell>
        </row>
        <row r="139">
          <cell r="G139">
            <v>0.30600696306685238</v>
          </cell>
          <cell r="I139">
            <v>0.524545759587284</v>
          </cell>
          <cell r="K139">
            <v>0.56859267500512944</v>
          </cell>
          <cell r="M139">
            <v>0.7451824671940751</v>
          </cell>
          <cell r="O139">
            <v>0.9430150923960704</v>
          </cell>
          <cell r="Q139">
            <v>1.0458180909595074</v>
          </cell>
          <cell r="S139">
            <v>1.1099505733795181</v>
          </cell>
          <cell r="U139">
            <v>1.158695166541049</v>
          </cell>
          <cell r="W139">
            <v>1.1898539758506466</v>
          </cell>
          <cell r="Y139">
            <v>1.2327715677159294</v>
          </cell>
          <cell r="AA139">
            <v>1.2325884002023655</v>
          </cell>
          <cell r="AC139">
            <v>1.2677479714057831</v>
          </cell>
          <cell r="AE139">
            <v>1.2928252714267925</v>
          </cell>
          <cell r="AG139">
            <v>1.3622542714619525</v>
          </cell>
          <cell r="AI139">
            <v>1.3945801427569233</v>
          </cell>
          <cell r="AK139">
            <v>1.4224448727180887</v>
          </cell>
          <cell r="AM139">
            <v>1.4247186825343845</v>
          </cell>
          <cell r="AO139">
            <v>1.4505801076166018</v>
          </cell>
          <cell r="AQ139">
            <v>1.4426708243185242</v>
          </cell>
          <cell r="AS139">
            <v>1.4469168682247877</v>
          </cell>
          <cell r="AU139">
            <v>1.461131418580415</v>
          </cell>
          <cell r="AW139">
            <v>1.4702381830522473</v>
          </cell>
          <cell r="AY139">
            <v>1.4700713183459269</v>
          </cell>
          <cell r="BA139">
            <v>1.4741898241725524</v>
          </cell>
          <cell r="BC139">
            <v>1.4692580922148204</v>
          </cell>
          <cell r="BE139">
            <v>1.4735670391898776</v>
          </cell>
          <cell r="BG139">
            <v>1.4641163785576399</v>
          </cell>
          <cell r="BI139">
            <v>1.4633675311635117</v>
          </cell>
        </row>
        <row r="140">
          <cell r="G140">
            <v>0.30600696306685238</v>
          </cell>
          <cell r="I140">
            <v>0.524545759587284</v>
          </cell>
          <cell r="K140">
            <v>0.56859267500512944</v>
          </cell>
          <cell r="M140">
            <v>0.70238655408068906</v>
          </cell>
          <cell r="O140">
            <v>0.90622548357765276</v>
          </cell>
          <cell r="Q140">
            <v>0.96186783417447075</v>
          </cell>
          <cell r="S140">
            <v>1.0444369313438211</v>
          </cell>
          <cell r="U140">
            <v>1.0543589588621567</v>
          </cell>
          <cell r="W140">
            <v>1.1020389266841266</v>
          </cell>
          <cell r="Y140">
            <v>1.1132018219412914</v>
          </cell>
          <cell r="AA140">
            <v>1.1295800237379505</v>
          </cell>
          <cell r="AC140">
            <v>1.1385043723228416</v>
          </cell>
          <cell r="AE140">
            <v>1.1787924425402028</v>
          </cell>
          <cell r="AG140">
            <v>1.2276414944078109</v>
          </cell>
          <cell r="AI140">
            <v>1.2730575354009404</v>
          </cell>
          <cell r="AK140">
            <v>1.282752195518801</v>
          </cell>
          <cell r="AM140">
            <v>1.2945556379107921</v>
          </cell>
          <cell r="AO140">
            <v>1.3048393287533033</v>
          </cell>
          <cell r="AQ140">
            <v>1.3064473267483663</v>
          </cell>
          <cell r="AS140">
            <v>1.2980976542608202</v>
          </cell>
          <cell r="AU140">
            <v>1.3207882742840411</v>
          </cell>
          <cell r="AW140">
            <v>1.3201103923706634</v>
          </cell>
          <cell r="AY140">
            <v>1.3282860823282872</v>
          </cell>
          <cell r="BA140">
            <v>1.3227543997978319</v>
          </cell>
          <cell r="BC140">
            <v>1.3261328787571844</v>
          </cell>
          <cell r="BE140">
            <v>1.3219315483149361</v>
          </cell>
          <cell r="BG140">
            <v>1.3206068474057051</v>
          </cell>
          <cell r="BI140">
            <v>1.3123948271669155</v>
          </cell>
        </row>
        <row r="141">
          <cell r="G141">
            <v>0.30600696306685238</v>
          </cell>
          <cell r="I141">
            <v>0.524545759587284</v>
          </cell>
          <cell r="K141">
            <v>0.49825721645023391</v>
          </cell>
          <cell r="M141">
            <v>0.64057023513913092</v>
          </cell>
          <cell r="O141">
            <v>0.76812295201312897</v>
          </cell>
          <cell r="Q141">
            <v>0.85235486944104921</v>
          </cell>
          <cell r="S141">
            <v>0.88865675537206135</v>
          </cell>
          <cell r="U141">
            <v>0.91928688639410305</v>
          </cell>
          <cell r="W141">
            <v>0.93297586681049494</v>
          </cell>
          <cell r="Y141">
            <v>0.9646665369770614</v>
          </cell>
          <cell r="AA141">
            <v>0.95501963416336122</v>
          </cell>
          <cell r="AC141">
            <v>0.98136831094637422</v>
          </cell>
          <cell r="AE141">
            <v>1.0038398659078904</v>
          </cell>
          <cell r="AG141">
            <v>1.0662745292463325</v>
          </cell>
          <cell r="AI141">
            <v>1.0951903925100848</v>
          </cell>
          <cell r="AK141">
            <v>1.1124026344579894</v>
          </cell>
          <cell r="AM141">
            <v>1.1107096532622436</v>
          </cell>
          <cell r="AO141">
            <v>1.1304576638834558</v>
          </cell>
          <cell r="AQ141">
            <v>1.1224773953806548</v>
          </cell>
          <cell r="AS141">
            <v>1.1220148388272402</v>
          </cell>
          <cell r="AU141">
            <v>1.1385511524274845</v>
          </cell>
          <cell r="AW141">
            <v>1.146221411950908</v>
          </cell>
          <cell r="AY141">
            <v>1.1464100412059135</v>
          </cell>
          <cell r="BA141">
            <v>1.1494377444193606</v>
          </cell>
          <cell r="BC141">
            <v>1.1463556560218073</v>
          </cell>
          <cell r="BE141">
            <v>1.1504488794511432</v>
          </cell>
          <cell r="BG141">
            <v>1.143837287656112</v>
          </cell>
          <cell r="BI141">
            <v>1.1431292835066322</v>
          </cell>
        </row>
        <row r="142">
          <cell r="G142">
            <v>0.30600696306685238</v>
          </cell>
          <cell r="I142">
            <v>0.35336210713373911</v>
          </cell>
          <cell r="K142">
            <v>0.39666155409316228</v>
          </cell>
          <cell r="M142">
            <v>0.45131719714882318</v>
          </cell>
          <cell r="O142">
            <v>0.59153282968472198</v>
          </cell>
          <cell r="Q142">
            <v>0.63100505743344459</v>
          </cell>
          <cell r="S142">
            <v>0.68841030652539426</v>
          </cell>
          <cell r="U142">
            <v>0.6900485615082762</v>
          </cell>
          <cell r="W142">
            <v>0.72710684719924412</v>
          </cell>
          <cell r="Y142">
            <v>0.73854222770364275</v>
          </cell>
          <cell r="AA142">
            <v>0.74644814868685261</v>
          </cell>
          <cell r="AC142">
            <v>0.76335272150328981</v>
          </cell>
          <cell r="AE142">
            <v>0.797313770007959</v>
          </cell>
          <cell r="AG142">
            <v>0.84730723881274039</v>
          </cell>
          <cell r="AI142">
            <v>0.87788100819569448</v>
          </cell>
          <cell r="AK142">
            <v>0.88623832941265213</v>
          </cell>
          <cell r="AM142">
            <v>0.89370309022866978</v>
          </cell>
          <cell r="AO142">
            <v>0.90980566546978026</v>
          </cell>
          <cell r="AQ142">
            <v>0.9079037461444821</v>
          </cell>
          <cell r="AS142">
            <v>0.90767389826493805</v>
          </cell>
          <cell r="AU142">
            <v>0.93228387798464085</v>
          </cell>
          <cell r="AW142">
            <v>0.9337378829472831</v>
          </cell>
          <cell r="AY142">
            <v>0.94258047329257244</v>
          </cell>
          <cell r="BA142">
            <v>0.94231124468477567</v>
          </cell>
          <cell r="BC142">
            <v>0.94740717380903083</v>
          </cell>
          <cell r="BE142">
            <v>0.94941289810782314</v>
          </cell>
          <cell r="BG142">
            <v>0.9496016834316714</v>
          </cell>
          <cell r="BI142">
            <v>0.94841974860467593</v>
          </cell>
        </row>
        <row r="143">
          <cell r="G143">
            <v>2.4665128847269662E-2</v>
          </cell>
          <cell r="I143">
            <v>0.10609683136750779</v>
          </cell>
          <cell r="K143">
            <v>0.15595798481640827</v>
          </cell>
          <cell r="M143">
            <v>0.21641518517090336</v>
          </cell>
          <cell r="O143">
            <v>0.29834794710102036</v>
          </cell>
          <cell r="Q143">
            <v>0.34807235809563986</v>
          </cell>
          <cell r="S143">
            <v>0.39315425463600773</v>
          </cell>
          <cell r="U143">
            <v>0.41892508754702418</v>
          </cell>
          <cell r="W143">
            <v>0.44907676544680875</v>
          </cell>
          <cell r="Y143">
            <v>0.47402892382428435</v>
          </cell>
          <cell r="AA143">
            <v>0.48871268799891032</v>
          </cell>
          <cell r="AC143">
            <v>0.51056007046997054</v>
          </cell>
          <cell r="AE143">
            <v>0.53728314475276184</v>
          </cell>
          <cell r="AG143">
            <v>0.57668735399850923</v>
          </cell>
          <cell r="AI143">
            <v>0.60589843356422657</v>
          </cell>
          <cell r="AK143">
            <v>0.62474073084952719</v>
          </cell>
          <cell r="AM143">
            <v>0.63826167745949169</v>
          </cell>
          <cell r="AO143">
            <v>0.65684447768096343</v>
          </cell>
          <cell r="AQ143">
            <v>0.66485761573526836</v>
          </cell>
          <cell r="AS143">
            <v>0.67270953243685627</v>
          </cell>
          <cell r="AU143">
            <v>0.69098061916066156</v>
          </cell>
          <cell r="AW143">
            <v>0.70124618696891861</v>
          </cell>
          <cell r="AY143">
            <v>0.71142070756558751</v>
          </cell>
          <cell r="BA143">
            <v>0.71882929846374943</v>
          </cell>
          <cell r="BC143">
            <v>0.72615774145158085</v>
          </cell>
          <cell r="BE143">
            <v>0.73337773530379669</v>
          </cell>
          <cell r="BG143">
            <v>0.73785626959327044</v>
          </cell>
          <cell r="BI143">
            <v>0.74221863423510837</v>
          </cell>
        </row>
      </sheetData>
      <sheetData sheetId="4">
        <row r="5">
          <cell r="M5" t="str">
            <v>ftm=fcm/10</v>
          </cell>
          <cell r="T5" t="str">
            <v>Thermal Stress (1st LIft)</v>
          </cell>
          <cell r="U5" t="str">
            <v>Thermal Stress (2nd LIft)</v>
          </cell>
        </row>
        <row r="7">
          <cell r="B7">
            <v>1</v>
          </cell>
          <cell r="C7">
            <v>28</v>
          </cell>
          <cell r="D7">
            <v>5.2915026221291814</v>
          </cell>
          <cell r="E7">
            <v>-4.2915026221291814</v>
          </cell>
          <cell r="G7">
            <v>-1.6307709964090891</v>
          </cell>
          <cell r="H7">
            <v>0.19577857134760357</v>
          </cell>
          <cell r="J7">
            <v>7.4004299969394145</v>
          </cell>
          <cell r="K7">
            <v>3.797559932579361</v>
          </cell>
          <cell r="L7">
            <v>1.4354776545149985</v>
          </cell>
          <cell r="M7">
            <v>0.74004299969394149</v>
          </cell>
          <cell r="N7">
            <v>0.90452168886235762</v>
          </cell>
          <cell r="P7">
            <v>17547.720763929738</v>
          </cell>
          <cell r="Q7">
            <v>18</v>
          </cell>
        </row>
        <row r="8">
          <cell r="B8">
            <v>2</v>
          </cell>
          <cell r="C8">
            <v>14</v>
          </cell>
          <cell r="D8">
            <v>3.7416573867739413</v>
          </cell>
          <cell r="E8">
            <v>-2.7416573867739413</v>
          </cell>
          <cell r="G8">
            <v>-1.0418298069740977</v>
          </cell>
          <cell r="H8">
            <v>0.35280851947330538</v>
          </cell>
          <cell r="J8">
            <v>13.336162036090942</v>
          </cell>
          <cell r="K8">
            <v>5.6236796806631419</v>
          </cell>
          <cell r="L8">
            <v>2.1257509192906676</v>
          </cell>
          <cell r="M8">
            <v>1.3336162036090942</v>
          </cell>
          <cell r="N8">
            <v>1.1007202455505258</v>
          </cell>
          <cell r="P8">
            <v>21353.972763680202</v>
          </cell>
          <cell r="Q8">
            <v>18</v>
          </cell>
        </row>
        <row r="9">
          <cell r="B9">
            <v>3</v>
          </cell>
          <cell r="C9">
            <v>9.3333333333333339</v>
          </cell>
          <cell r="D9">
            <v>3.0550504633038935</v>
          </cell>
          <cell r="E9">
            <v>-2.0550504633038935</v>
          </cell>
          <cell r="G9">
            <v>-0.78091917605547956</v>
          </cell>
          <cell r="H9">
            <v>0.45798484906671921</v>
          </cell>
          <cell r="J9">
            <v>17.311827294721986</v>
          </cell>
          <cell r="K9">
            <v>6.6920925817086463</v>
          </cell>
          <cell r="L9">
            <v>2.5296109958858684</v>
          </cell>
          <cell r="M9">
            <v>1.7311827294721986</v>
          </cell>
          <cell r="N9">
            <v>1.2007362910705304</v>
          </cell>
          <cell r="P9">
            <v>23294.284046768291</v>
          </cell>
          <cell r="Q9">
            <v>18</v>
          </cell>
        </row>
        <row r="10">
          <cell r="B10">
            <v>4</v>
          </cell>
          <cell r="C10">
            <v>7</v>
          </cell>
          <cell r="D10">
            <v>2.6457513110645907</v>
          </cell>
          <cell r="E10">
            <v>-1.6457513110645907</v>
          </cell>
          <cell r="G10">
            <v>-0.62538549820454448</v>
          </cell>
          <cell r="H10">
            <v>0.53505512596652094</v>
          </cell>
          <cell r="J10">
            <v>20.225083761534489</v>
          </cell>
          <cell r="K10">
            <v>7.4232408664900404</v>
          </cell>
          <cell r="L10">
            <v>2.8059850475332353</v>
          </cell>
          <cell r="M10">
            <v>2.022508376153449</v>
          </cell>
          <cell r="N10">
            <v>1.2646298919141714</v>
          </cell>
          <cell r="P10">
            <v>24533.819903134925</v>
          </cell>
          <cell r="Q10">
            <v>18</v>
          </cell>
        </row>
        <row r="11">
          <cell r="B11">
            <v>5</v>
          </cell>
          <cell r="C11">
            <v>5.6</v>
          </cell>
          <cell r="D11">
            <v>2.3664319132398464</v>
          </cell>
          <cell r="E11">
            <v>-1.3664319132398464</v>
          </cell>
          <cell r="G11">
            <v>-0.51924412703114164</v>
          </cell>
          <cell r="H11">
            <v>0.5949700998624935</v>
          </cell>
          <cell r="J11">
            <v>22.489869774802251</v>
          </cell>
          <cell r="K11">
            <v>7.9675468736328527</v>
          </cell>
          <cell r="L11">
            <v>3.0117327182332185</v>
          </cell>
          <cell r="M11">
            <v>2.2489869774802251</v>
          </cell>
          <cell r="N11">
            <v>1.3101740105424815</v>
          </cell>
          <cell r="P11">
            <v>25417.375804524141</v>
          </cell>
          <cell r="Q11">
            <v>18</v>
          </cell>
        </row>
        <row r="12">
          <cell r="B12">
            <v>6</v>
          </cell>
          <cell r="C12">
            <v>4.666666666666667</v>
          </cell>
          <cell r="D12">
            <v>2.1602468994692869</v>
          </cell>
          <cell r="E12">
            <v>-1.1602468994692869</v>
          </cell>
          <cell r="G12">
            <v>-0.44089382179832903</v>
          </cell>
          <cell r="H12">
            <v>0.64346102448038045</v>
          </cell>
          <cell r="J12">
            <v>24.322826725358379</v>
          </cell>
          <cell r="K12">
            <v>8.3947808655611951</v>
          </cell>
          <cell r="L12">
            <v>3.1732271671821319</v>
          </cell>
          <cell r="M12">
            <v>2.432282672535838</v>
          </cell>
          <cell r="N12">
            <v>1.3448422625713738</v>
          </cell>
          <cell r="P12">
            <v>26089.939893884653</v>
          </cell>
          <cell r="Q12">
            <v>18</v>
          </cell>
        </row>
        <row r="13">
          <cell r="B13">
            <v>7</v>
          </cell>
          <cell r="C13">
            <v>4</v>
          </cell>
          <cell r="D13">
            <v>2</v>
          </cell>
          <cell r="E13">
            <v>-1</v>
          </cell>
          <cell r="G13">
            <v>-0.38</v>
          </cell>
          <cell r="H13">
            <v>0.68386140921235583</v>
          </cell>
          <cell r="J13">
            <v>25.849961268227048</v>
          </cell>
          <cell r="K13">
            <v>8.7425863628773985</v>
          </cell>
          <cell r="L13">
            <v>3.3046976451676566</v>
          </cell>
          <cell r="M13">
            <v>2.5849961268227046</v>
          </cell>
          <cell r="N13">
            <v>1.3724187167472888</v>
          </cell>
          <cell r="P13">
            <v>26624.923104897403</v>
          </cell>
          <cell r="Q13">
            <v>18</v>
          </cell>
        </row>
        <row r="14">
          <cell r="B14">
            <v>8</v>
          </cell>
          <cell r="C14">
            <v>3.5</v>
          </cell>
          <cell r="D14">
            <v>1.8708286933869707</v>
          </cell>
          <cell r="E14">
            <v>-0.87082869338697066</v>
          </cell>
          <cell r="G14">
            <v>-0.33091490348704888</v>
          </cell>
          <cell r="H14">
            <v>0.71826628839652429</v>
          </cell>
          <cell r="J14">
            <v>27.150465701388615</v>
          </cell>
          <cell r="K14">
            <v>9.0334058430598869</v>
          </cell>
          <cell r="L14">
            <v>3.4146274086766373</v>
          </cell>
          <cell r="M14">
            <v>2.7150465701388615</v>
          </cell>
          <cell r="N14">
            <v>1.3950585262785549</v>
          </cell>
          <cell r="P14">
            <v>27064.135409803963</v>
          </cell>
          <cell r="Q14">
            <v>18</v>
          </cell>
        </row>
        <row r="15">
          <cell r="B15">
            <v>9</v>
          </cell>
          <cell r="C15">
            <v>3.1111111111111112</v>
          </cell>
          <cell r="D15">
            <v>1.7638342073763937</v>
          </cell>
          <cell r="E15">
            <v>-0.76383420737639374</v>
          </cell>
          <cell r="G15">
            <v>-0.29025699880302963</v>
          </cell>
          <cell r="H15">
            <v>0.74807128944603007</v>
          </cell>
          <cell r="J15">
            <v>28.277094741059933</v>
          </cell>
          <cell r="K15">
            <v>9.2816073338778118</v>
          </cell>
          <cell r="L15">
            <v>3.5084475722058128</v>
          </cell>
          <cell r="M15">
            <v>2.8277094741059932</v>
          </cell>
          <cell r="N15">
            <v>1.4140939438156399</v>
          </cell>
          <cell r="P15">
            <v>27433.422510023414</v>
          </cell>
          <cell r="Q15">
            <v>18</v>
          </cell>
        </row>
        <row r="16">
          <cell r="B16">
            <v>10</v>
          </cell>
          <cell r="C16">
            <v>2.8</v>
          </cell>
          <cell r="D16">
            <v>1.6733200530681511</v>
          </cell>
          <cell r="E16">
            <v>-0.67332005306815113</v>
          </cell>
          <cell r="G16">
            <v>-0.25586162016589742</v>
          </cell>
          <cell r="H16">
            <v>0.7742491018418175</v>
          </cell>
          <cell r="J16">
            <v>29.266616049620698</v>
          </cell>
          <cell r="K16">
            <v>9.4968958094177314</v>
          </cell>
          <cell r="L16">
            <v>3.5898266159599026</v>
          </cell>
          <cell r="M16">
            <v>2.92666160496207</v>
          </cell>
          <cell r="N16">
            <v>1.4304000062719515</v>
          </cell>
          <cell r="P16">
            <v>27749.760121675859</v>
          </cell>
          <cell r="Q16">
            <v>18</v>
          </cell>
        </row>
        <row r="17">
          <cell r="B17">
            <v>11</v>
          </cell>
          <cell r="C17">
            <v>2.5454545454545454</v>
          </cell>
          <cell r="D17">
            <v>1.5954480704349312</v>
          </cell>
          <cell r="E17">
            <v>-0.5954480704349312</v>
          </cell>
          <cell r="G17">
            <v>-0.22627026676527387</v>
          </cell>
          <cell r="H17">
            <v>0.79750253410642236</v>
          </cell>
          <cell r="J17">
            <v>30.145595789222764</v>
          </cell>
          <cell r="K17">
            <v>9.6861066750154627</v>
          </cell>
          <cell r="L17">
            <v>3.661348323155845</v>
          </cell>
          <cell r="M17">
            <v>3.0145595789222766</v>
          </cell>
          <cell r="N17">
            <v>1.4445789778341196</v>
          </cell>
          <cell r="P17">
            <v>28024.832169981921</v>
          </cell>
          <cell r="Q17">
            <v>18</v>
          </cell>
        </row>
        <row r="18">
          <cell r="B18">
            <v>12</v>
          </cell>
          <cell r="C18">
            <v>2.3333333333333335</v>
          </cell>
          <cell r="D18">
            <v>1.5275252316519468</v>
          </cell>
          <cell r="E18">
            <v>-0.52752523165194676</v>
          </cell>
          <cell r="G18">
            <v>-0.20045958802773978</v>
          </cell>
          <cell r="H18">
            <v>0.81835456067930779</v>
          </cell>
          <cell r="J18">
            <v>30.933802393677833</v>
          </cell>
          <cell r="K18">
            <v>9.8542188822061547</v>
          </cell>
          <cell r="L18">
            <v>3.7248947374739263</v>
          </cell>
          <cell r="M18">
            <v>3.0933802393677832</v>
          </cell>
          <cell r="N18">
            <v>1.4570611175579475</v>
          </cell>
          <cell r="P18">
            <v>28266.985680624181</v>
          </cell>
          <cell r="Q18">
            <v>18</v>
          </cell>
        </row>
        <row r="19">
          <cell r="B19">
            <v>13</v>
          </cell>
          <cell r="C19">
            <v>2.1538461538461537</v>
          </cell>
          <cell r="D19">
            <v>1.4675987714106855</v>
          </cell>
          <cell r="E19">
            <v>-0.46759877141068551</v>
          </cell>
          <cell r="G19">
            <v>-0.1776875331360605</v>
          </cell>
          <cell r="H19">
            <v>0.83720398112505257</v>
          </cell>
          <cell r="J19">
            <v>31.646310486526986</v>
          </cell>
          <cell r="K19">
            <v>10.00496076337463</v>
          </cell>
          <cell r="L19">
            <v>3.7818751685556102</v>
          </cell>
          <cell r="M19">
            <v>3.1646310486526987</v>
          </cell>
          <cell r="N19">
            <v>1.468163292724014</v>
          </cell>
          <cell r="P19">
            <v>28482.367878845871</v>
          </cell>
          <cell r="Q19">
            <v>18</v>
          </cell>
        </row>
        <row r="20">
          <cell r="B20">
            <v>14</v>
          </cell>
          <cell r="C20">
            <v>2</v>
          </cell>
          <cell r="D20">
            <v>1.4142135623730951</v>
          </cell>
          <cell r="E20">
            <v>-0.41421356237309515</v>
          </cell>
          <cell r="G20">
            <v>-0.15740115370177615</v>
          </cell>
          <cell r="H20">
            <v>0.85436125988269518</v>
          </cell>
          <cell r="J20">
            <v>32.294855623565873</v>
          </cell>
          <cell r="K20">
            <v>10.141189503115118</v>
          </cell>
          <cell r="L20">
            <v>3.8333696321775146</v>
          </cell>
          <cell r="M20">
            <v>3.2294855623565875</v>
          </cell>
          <cell r="N20">
            <v>1.4781248412667454</v>
          </cell>
          <cell r="P20">
            <v>28675.62192057486</v>
          </cell>
          <cell r="Q20">
            <v>18</v>
          </cell>
        </row>
        <row r="21">
          <cell r="B21">
            <v>15</v>
          </cell>
          <cell r="C21">
            <v>1.8666666666666667</v>
          </cell>
          <cell r="D21">
            <v>1.3662601021279464</v>
          </cell>
          <cell r="E21">
            <v>-0.36626010212794635</v>
          </cell>
          <cell r="G21">
            <v>-0.13917883880861961</v>
          </cell>
          <cell r="H21">
            <v>0.87007241182997563</v>
          </cell>
          <cell r="J21">
            <v>32.888737167173076</v>
          </cell>
          <cell r="K21">
            <v>10.265138154899741</v>
          </cell>
          <cell r="L21">
            <v>3.8802222225521024</v>
          </cell>
          <cell r="M21">
            <v>3.2888737167173074</v>
          </cell>
          <cell r="N21">
            <v>1.4871304495196742</v>
          </cell>
          <cell r="P21">
            <v>28850.330720681679</v>
          </cell>
          <cell r="Q21">
            <v>18</v>
          </cell>
        </row>
        <row r="22">
          <cell r="B22">
            <v>16</v>
          </cell>
          <cell r="C22">
            <v>1.75</v>
          </cell>
          <cell r="D22">
            <v>1.3228756555322954</v>
          </cell>
          <cell r="E22">
            <v>-0.32287565553229536</v>
          </cell>
          <cell r="G22">
            <v>-0.12269274910227224</v>
          </cell>
          <cell r="H22">
            <v>0.88453539510786749</v>
          </cell>
          <cell r="J22">
            <v>33.435437935077388</v>
          </cell>
          <cell r="K22">
            <v>10.378581752361599</v>
          </cell>
          <cell r="L22">
            <v>3.9231039023926844</v>
          </cell>
          <cell r="M22">
            <v>3.343543793507739</v>
          </cell>
          <cell r="N22">
            <v>1.4953252676464652</v>
          </cell>
          <cell r="P22">
            <v>29009.310192341425</v>
          </cell>
          <cell r="Q22">
            <v>18</v>
          </cell>
        </row>
        <row r="23">
          <cell r="B23">
            <v>17</v>
          </cell>
          <cell r="C23">
            <v>1.6470588235294117</v>
          </cell>
          <cell r="D23">
            <v>1.2833778958394957</v>
          </cell>
          <cell r="E23">
            <v>-0.28337789583949569</v>
          </cell>
          <cell r="G23">
            <v>-0.10768360041900836</v>
          </cell>
          <cell r="H23">
            <v>0.89791165036073461</v>
          </cell>
          <cell r="J23">
            <v>33.941060383635765</v>
          </cell>
          <cell r="K23">
            <v>10.482952169680599</v>
          </cell>
          <cell r="L23">
            <v>3.9625559201392666</v>
          </cell>
          <cell r="M23">
            <v>3.3941060383635766</v>
          </cell>
          <cell r="N23">
            <v>1.5028251996923956</v>
          </cell>
          <cell r="P23">
            <v>29154.808874032475</v>
          </cell>
          <cell r="Q23">
            <v>18</v>
          </cell>
        </row>
        <row r="24">
          <cell r="B24">
            <v>18</v>
          </cell>
          <cell r="C24">
            <v>1.5555555555555556</v>
          </cell>
          <cell r="D24">
            <v>1.247219128924647</v>
          </cell>
          <cell r="E24">
            <v>-0.24721912892464704</v>
          </cell>
          <cell r="G24">
            <v>-9.3943268991365875E-2</v>
          </cell>
          <cell r="H24">
            <v>0.91033440496486917</v>
          </cell>
          <cell r="J24">
            <v>34.410640507672049</v>
          </cell>
          <cell r="K24">
            <v>10.579419484195492</v>
          </cell>
          <cell r="L24">
            <v>3.9990205650258961</v>
          </cell>
          <cell r="M24">
            <v>3.441064050767205</v>
          </cell>
          <cell r="N24">
            <v>1.5097240919171286</v>
          </cell>
          <cell r="P24">
            <v>29288.647383192296</v>
          </cell>
          <cell r="Q24">
            <v>18</v>
          </cell>
        </row>
        <row r="25">
          <cell r="B25">
            <v>19</v>
          </cell>
          <cell r="C25">
            <v>1.4736842105263157</v>
          </cell>
          <cell r="D25">
            <v>1.2139539573337679</v>
          </cell>
          <cell r="E25">
            <v>-0.21395395733376787</v>
          </cell>
          <cell r="G25">
            <v>-8.1302503786831792E-2</v>
          </cell>
          <cell r="H25">
            <v>0.92191476655079896</v>
          </cell>
          <cell r="J25">
            <v>34.848378175620198</v>
          </cell>
          <cell r="K25">
            <v>10.668950841093439</v>
          </cell>
          <cell r="L25">
            <v>4.0328634179333198</v>
          </cell>
          <cell r="M25">
            <v>3.4848378175620196</v>
          </cell>
          <cell r="N25">
            <v>1.5160988687515253</v>
          </cell>
          <cell r="P25">
            <v>29412.318053779592</v>
          </cell>
          <cell r="Q25">
            <v>18</v>
          </cell>
        </row>
        <row r="26">
          <cell r="B26">
            <v>20</v>
          </cell>
          <cell r="C26">
            <v>1.4</v>
          </cell>
          <cell r="D26">
            <v>1.1832159566199232</v>
          </cell>
          <cell r="E26">
            <v>-0.18321595661992318</v>
          </cell>
          <cell r="G26">
            <v>-6.9622063515570806E-2</v>
          </cell>
          <cell r="H26">
            <v>0.93274627214643213</v>
          </cell>
          <cell r="J26">
            <v>35.257809087135129</v>
          </cell>
          <cell r="K26">
            <v>10.752353842951447</v>
          </cell>
          <cell r="L26">
            <v>4.0643897526356465</v>
          </cell>
          <cell r="M26">
            <v>3.525780908713513</v>
          </cell>
          <cell r="N26">
            <v>1.5220132758538027</v>
          </cell>
          <cell r="P26">
            <v>29527.057551563772</v>
          </cell>
          <cell r="Q26">
            <v>18</v>
          </cell>
        </row>
        <row r="27">
          <cell r="B27">
            <v>21</v>
          </cell>
          <cell r="C27">
            <v>1.3333333333333333</v>
          </cell>
          <cell r="D27">
            <v>1.1547005383792515</v>
          </cell>
          <cell r="E27">
            <v>-0.15470053837925146</v>
          </cell>
          <cell r="G27">
            <v>-5.8786204584115556E-2</v>
          </cell>
          <cell r="H27">
            <v>0.94290833708925093</v>
          </cell>
          <cell r="J27">
            <v>35.641935141973683</v>
          </cell>
          <cell r="K27">
            <v>10.830309067499408</v>
          </cell>
          <cell r="L27">
            <v>4.0938568275147764</v>
          </cell>
          <cell r="M27">
            <v>3.5641935141973682</v>
          </cell>
          <cell r="N27">
            <v>1.527520656449123</v>
          </cell>
          <cell r="P27">
            <v>29633.900735112988</v>
          </cell>
          <cell r="Q27">
            <v>18</v>
          </cell>
        </row>
        <row r="28">
          <cell r="B28">
            <v>22</v>
          </cell>
          <cell r="C28">
            <v>1.2727272727272727</v>
          </cell>
          <cell r="D28">
            <v>1.1281521496355325</v>
          </cell>
          <cell r="E28">
            <v>-0.12815214963553245</v>
          </cell>
          <cell r="G28">
            <v>-4.8697816861502333E-2</v>
          </cell>
          <cell r="H28">
            <v>0.95246890625911773</v>
          </cell>
          <cell r="J28">
            <v>36.00332465659465</v>
          </cell>
          <cell r="K28">
            <v>10.903394802434923</v>
          </cell>
          <cell r="L28">
            <v>4.121483235320401</v>
          </cell>
          <cell r="M28">
            <v>3.6003324656594651</v>
          </cell>
          <cell r="N28">
            <v>1.5326660432553183</v>
          </cell>
          <cell r="P28">
            <v>29733.721239153176</v>
          </cell>
          <cell r="Q28">
            <v>18</v>
          </cell>
        </row>
        <row r="29">
          <cell r="B29">
            <v>23</v>
          </cell>
          <cell r="C29">
            <v>1.2173913043478262</v>
          </cell>
          <cell r="D29">
            <v>1.103354568734741</v>
          </cell>
          <cell r="E29">
            <v>-0.10335456873474103</v>
          </cell>
          <cell r="G29">
            <v>-3.9274736119201591E-2</v>
          </cell>
          <cell r="H29">
            <v>0.96148651778201333</v>
          </cell>
          <cell r="J29">
            <v>36.344190372160099</v>
          </cell>
          <cell r="K29">
            <v>10.972106113602019</v>
          </cell>
          <cell r="L29">
            <v>4.1474561109415626</v>
          </cell>
          <cell r="M29">
            <v>3.6344190372160101</v>
          </cell>
          <cell r="N29">
            <v>1.5374877571497962</v>
          </cell>
          <cell r="P29">
            <v>29827.262488706048</v>
          </cell>
          <cell r="Q29">
            <v>18</v>
          </cell>
        </row>
        <row r="30">
          <cell r="B30">
            <v>24</v>
          </cell>
          <cell r="C30">
            <v>1.1666666666666667</v>
          </cell>
          <cell r="D30">
            <v>1.0801234497346435</v>
          </cell>
          <cell r="E30">
            <v>-8.012344973464347E-2</v>
          </cell>
          <cell r="G30">
            <v>-3.0446910899164518E-2</v>
          </cell>
          <cell r="H30">
            <v>0.97001192776131295</v>
          </cell>
          <cell r="J30">
            <v>36.666450869377627</v>
          </cell>
          <cell r="K30">
            <v>11.036869723996075</v>
          </cell>
          <cell r="L30">
            <v>4.171936755670516</v>
          </cell>
          <cell r="M30">
            <v>3.6666450869377627</v>
          </cell>
          <cell r="N30">
            <v>1.5420186445935007</v>
          </cell>
          <cell r="P30">
            <v>29915.161705113915</v>
          </cell>
          <cell r="Q30">
            <v>18</v>
          </cell>
        </row>
        <row r="31">
          <cell r="B31">
            <v>25</v>
          </cell>
          <cell r="C31">
            <v>1.1200000000000001</v>
          </cell>
          <cell r="D31">
            <v>1.0583005244258363</v>
          </cell>
          <cell r="E31">
            <v>-5.8300524425836331E-2</v>
          </cell>
          <cell r="G31">
            <v>-2.2154199281817805E-2</v>
          </cell>
          <cell r="H31">
            <v>0.97808940273893585</v>
          </cell>
          <cell r="J31">
            <v>36.971779423531771</v>
          </cell>
          <cell r="K31">
            <v>11.098055752705102</v>
          </cell>
          <cell r="L31">
            <v>4.1950650745225291</v>
          </cell>
          <cell r="M31">
            <v>3.6971779423531772</v>
          </cell>
          <cell r="N31">
            <v>1.546287046622838</v>
          </cell>
          <cell r="P31">
            <v>29997.968704483057</v>
          </cell>
          <cell r="Q31">
            <v>18</v>
          </cell>
        </row>
        <row r="32">
          <cell r="B32">
            <v>26</v>
          </cell>
          <cell r="C32">
            <v>1.0769230769230769</v>
          </cell>
          <cell r="D32">
            <v>1.0377490433255416</v>
          </cell>
          <cell r="E32">
            <v>-3.7749043325541631E-2</v>
          </cell>
          <cell r="G32">
            <v>-1.4344636463705819E-2</v>
          </cell>
          <cell r="H32">
            <v>0.98575775764713014</v>
          </cell>
          <cell r="J32">
            <v>37.261643239061513</v>
          </cell>
          <cell r="K32">
            <v>11.155987070307409</v>
          </cell>
          <cell r="L32">
            <v>4.2169631125762006</v>
          </cell>
          <cell r="M32">
            <v>3.7261643239061515</v>
          </cell>
          <cell r="N32">
            <v>1.550317565720567</v>
          </cell>
          <cell r="P32">
            <v>30076.160774978998</v>
          </cell>
          <cell r="Q32">
            <v>18</v>
          </cell>
        </row>
        <row r="33">
          <cell r="B33">
            <v>27</v>
          </cell>
          <cell r="C33">
            <v>1.037037037037037</v>
          </cell>
          <cell r="D33">
            <v>1.0183501544346312</v>
          </cell>
          <cell r="E33">
            <v>-1.8350154434631172E-2</v>
          </cell>
          <cell r="G33">
            <v>-6.9730586851598454E-3</v>
          </cell>
          <cell r="H33">
            <v>0.99305119667778508</v>
          </cell>
          <cell r="J33">
            <v>37.537335234420276</v>
          </cell>
          <cell r="K33">
            <v>11.21094682398533</v>
          </cell>
          <cell r="L33">
            <v>4.2377378994664543</v>
          </cell>
          <cell r="M33">
            <v>3.7537335234420275</v>
          </cell>
          <cell r="N33">
            <v>1.5541316786455632</v>
          </cell>
          <cell r="P33">
            <v>30150.154565723926</v>
          </cell>
          <cell r="Q33">
            <v>18</v>
          </cell>
        </row>
        <row r="34">
          <cell r="B34">
            <v>28</v>
          </cell>
          <cell r="C34">
            <v>1</v>
          </cell>
          <cell r="D34">
            <v>1</v>
          </cell>
          <cell r="E34">
            <v>0</v>
          </cell>
          <cell r="G34">
            <v>0</v>
          </cell>
          <cell r="H34">
            <v>1</v>
          </cell>
          <cell r="J34">
            <v>37.799999999999997</v>
          </cell>
          <cell r="K34">
            <v>11.26318454221675</v>
          </cell>
          <cell r="L34">
            <v>4.2574837569579316</v>
          </cell>
          <cell r="M34">
            <v>3.78</v>
          </cell>
          <cell r="N34">
            <v>1.5577482305553312</v>
          </cell>
          <cell r="P34">
            <v>30220.315672773424</v>
          </cell>
          <cell r="Q34">
            <v>18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E40AB-D15D-4766-90D5-CACEC8BB1575}" name="Table1" displayName="Table1" ref="B4:C33" totalsRowShown="0" headerRowDxfId="3" dataDxfId="2">
  <tableColumns count="2">
    <tableColumn id="1" xr3:uid="{9FC5042F-40D2-4002-8E6C-F8BBE4F236EC}" name="Time (days)" dataDxfId="1"/>
    <tableColumn id="4" xr3:uid="{9C392BDD-AAB9-48B0-B860-1E252BE312CE}" name="Adiabatic rise (C) for 223kg/m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778E-DA5F-4BDE-8E0C-F9A4DAA73CF4}">
  <dimension ref="B3:L22"/>
  <sheetViews>
    <sheetView workbookViewId="0">
      <selection activeCell="D21" sqref="D21"/>
    </sheetView>
  </sheetViews>
  <sheetFormatPr defaultRowHeight="14.4" x14ac:dyDescent="0.3"/>
  <cols>
    <col min="2" max="2" width="16.6640625" bestFit="1" customWidth="1"/>
    <col min="3" max="3" width="18.5546875" bestFit="1" customWidth="1"/>
    <col min="4" max="4" width="26.6640625" bestFit="1" customWidth="1"/>
    <col min="5" max="5" width="26.6640625" customWidth="1"/>
    <col min="7" max="7" width="9.88671875" customWidth="1"/>
    <col min="8" max="8" width="12.88671875" bestFit="1" customWidth="1"/>
    <col min="9" max="9" width="15.33203125" bestFit="1" customWidth="1"/>
  </cols>
  <sheetData>
    <row r="3" spans="2:12" ht="17.25" customHeight="1" x14ac:dyDescent="0.3">
      <c r="B3" s="1" t="s">
        <v>0</v>
      </c>
      <c r="C3" s="1" t="s">
        <v>1</v>
      </c>
      <c r="D3" s="1" t="s">
        <v>2</v>
      </c>
      <c r="E3" s="2" t="s">
        <v>3</v>
      </c>
      <c r="F3" s="3" t="s">
        <v>4</v>
      </c>
      <c r="G3" s="3"/>
      <c r="H3" s="1" t="s">
        <v>5</v>
      </c>
      <c r="I3" s="1" t="s">
        <v>6</v>
      </c>
    </row>
    <row r="4" spans="2:12" x14ac:dyDescent="0.3">
      <c r="B4" s="1"/>
      <c r="C4" s="1"/>
      <c r="D4" s="1"/>
      <c r="E4" s="4"/>
      <c r="F4" s="3" t="s">
        <v>7</v>
      </c>
      <c r="G4" s="3" t="s">
        <v>8</v>
      </c>
      <c r="H4" s="1"/>
      <c r="I4" s="1"/>
    </row>
    <row r="5" spans="2:12" x14ac:dyDescent="0.3">
      <c r="B5" s="5" t="s">
        <v>9</v>
      </c>
      <c r="C5" s="5">
        <v>406</v>
      </c>
      <c r="D5" s="5">
        <v>0.2</v>
      </c>
      <c r="E5" s="5">
        <f>C5*D5</f>
        <v>81.2</v>
      </c>
      <c r="F5" s="5">
        <v>22</v>
      </c>
      <c r="G5" s="5">
        <v>0</v>
      </c>
      <c r="H5" s="5">
        <f>F5-G5</f>
        <v>22</v>
      </c>
      <c r="I5" s="5">
        <f>E5*H5</f>
        <v>1786.4</v>
      </c>
    </row>
    <row r="6" spans="2:12" x14ac:dyDescent="0.3">
      <c r="B6" s="5" t="s">
        <v>10</v>
      </c>
      <c r="C6" s="5">
        <v>718.08</v>
      </c>
      <c r="D6" s="5">
        <v>0.19</v>
      </c>
      <c r="E6" s="5">
        <f t="shared" ref="E6:E14" si="0">C6*D6</f>
        <v>136.43520000000001</v>
      </c>
      <c r="F6" s="5">
        <v>22</v>
      </c>
      <c r="G6" s="5">
        <v>0</v>
      </c>
      <c r="H6" s="5">
        <f t="shared" ref="H6:H14" si="1">F6-G6</f>
        <v>22</v>
      </c>
      <c r="I6" s="5">
        <f t="shared" ref="I6:I11" si="2">E6*H6</f>
        <v>3001.5744000000004</v>
      </c>
      <c r="L6" t="s">
        <v>11</v>
      </c>
    </row>
    <row r="7" spans="2:12" x14ac:dyDescent="0.3">
      <c r="B7" s="5" t="s">
        <v>12</v>
      </c>
      <c r="C7" s="5">
        <v>1012</v>
      </c>
      <c r="D7" s="5">
        <v>0.24</v>
      </c>
      <c r="E7" s="5">
        <f t="shared" si="0"/>
        <v>242.88</v>
      </c>
      <c r="F7" s="5">
        <v>22</v>
      </c>
      <c r="G7" s="5">
        <v>0</v>
      </c>
      <c r="H7" s="5">
        <f t="shared" si="1"/>
        <v>22</v>
      </c>
      <c r="I7" s="5">
        <f t="shared" si="2"/>
        <v>5343.36</v>
      </c>
    </row>
    <row r="8" spans="2:12" x14ac:dyDescent="0.3">
      <c r="B8" s="5" t="s">
        <v>13</v>
      </c>
      <c r="C8" s="5">
        <v>0</v>
      </c>
      <c r="D8" s="5">
        <v>1</v>
      </c>
      <c r="E8" s="5">
        <f t="shared" si="0"/>
        <v>0</v>
      </c>
      <c r="F8" s="5">
        <v>12</v>
      </c>
      <c r="G8" s="5">
        <v>0</v>
      </c>
      <c r="H8" s="5">
        <f t="shared" si="1"/>
        <v>12</v>
      </c>
      <c r="I8" s="5">
        <f t="shared" si="2"/>
        <v>0</v>
      </c>
    </row>
    <row r="9" spans="2:12" x14ac:dyDescent="0.3">
      <c r="B9" s="5" t="s">
        <v>14</v>
      </c>
      <c r="C9" s="5">
        <v>43.08</v>
      </c>
      <c r="D9" s="5">
        <v>1</v>
      </c>
      <c r="E9" s="5">
        <f t="shared" si="0"/>
        <v>43.08</v>
      </c>
      <c r="F9" s="5">
        <v>22</v>
      </c>
      <c r="G9" s="5">
        <v>0</v>
      </c>
      <c r="H9" s="5">
        <f t="shared" si="1"/>
        <v>22</v>
      </c>
      <c r="I9" s="5">
        <f t="shared" si="2"/>
        <v>947.76</v>
      </c>
    </row>
    <row r="10" spans="2:12" x14ac:dyDescent="0.3">
      <c r="B10" s="5" t="s">
        <v>15</v>
      </c>
      <c r="C10" s="5">
        <v>20.239999999999998</v>
      </c>
      <c r="D10" s="5">
        <v>1</v>
      </c>
      <c r="E10" s="5">
        <f t="shared" si="0"/>
        <v>20.239999999999998</v>
      </c>
      <c r="F10" s="5">
        <v>22</v>
      </c>
      <c r="G10" s="5">
        <v>0</v>
      </c>
      <c r="H10" s="5">
        <f t="shared" si="1"/>
        <v>22</v>
      </c>
      <c r="I10" s="5">
        <f t="shared" si="2"/>
        <v>445.28</v>
      </c>
    </row>
    <row r="11" spans="2:12" x14ac:dyDescent="0.3">
      <c r="B11" s="6" t="s">
        <v>16</v>
      </c>
      <c r="C11" s="6">
        <v>73.400000000000006</v>
      </c>
      <c r="D11" s="6">
        <v>0.5</v>
      </c>
      <c r="E11" s="6">
        <f>C11*D11</f>
        <v>36.700000000000003</v>
      </c>
      <c r="F11" s="6">
        <v>-10</v>
      </c>
      <c r="G11" s="6">
        <v>0</v>
      </c>
      <c r="H11" s="6">
        <f t="shared" si="1"/>
        <v>-10</v>
      </c>
      <c r="I11" s="6">
        <f t="shared" si="2"/>
        <v>-367</v>
      </c>
    </row>
    <row r="12" spans="2:12" x14ac:dyDescent="0.3">
      <c r="B12" s="6" t="s">
        <v>17</v>
      </c>
      <c r="C12" s="6">
        <v>73.400000000000006</v>
      </c>
      <c r="D12" s="6">
        <v>0</v>
      </c>
      <c r="E12" s="6">
        <f>C12*D12</f>
        <v>0</v>
      </c>
      <c r="F12" s="6">
        <v>0</v>
      </c>
      <c r="G12" s="6">
        <v>0</v>
      </c>
      <c r="H12" s="6">
        <f t="shared" si="1"/>
        <v>0</v>
      </c>
      <c r="I12" s="6">
        <f>C12*(-80)</f>
        <v>-5872</v>
      </c>
    </row>
    <row r="13" spans="2:12" x14ac:dyDescent="0.3">
      <c r="B13" s="6" t="s">
        <v>18</v>
      </c>
      <c r="C13" s="6">
        <v>73.400000000000006</v>
      </c>
      <c r="D13" s="6">
        <v>1</v>
      </c>
      <c r="E13" s="6">
        <f>C13*D13</f>
        <v>73.400000000000006</v>
      </c>
      <c r="F13" s="6">
        <v>0</v>
      </c>
      <c r="G13" s="6">
        <v>12</v>
      </c>
      <c r="H13" s="6">
        <f t="shared" si="1"/>
        <v>-12</v>
      </c>
      <c r="I13" s="6">
        <f t="shared" ref="I13:I14" si="3">E13*H13</f>
        <v>-880.80000000000007</v>
      </c>
    </row>
    <row r="14" spans="2:12" x14ac:dyDescent="0.3">
      <c r="B14" s="5" t="s">
        <v>19</v>
      </c>
      <c r="C14" s="5">
        <v>1</v>
      </c>
      <c r="D14" s="5">
        <v>1000</v>
      </c>
      <c r="E14" s="5">
        <f t="shared" si="0"/>
        <v>1000</v>
      </c>
      <c r="F14" s="5">
        <v>1</v>
      </c>
      <c r="G14" s="5">
        <v>0</v>
      </c>
      <c r="H14" s="5">
        <f t="shared" si="1"/>
        <v>1</v>
      </c>
      <c r="I14" s="5">
        <f t="shared" si="3"/>
        <v>1000</v>
      </c>
    </row>
    <row r="15" spans="2:12" x14ac:dyDescent="0.3">
      <c r="D15" s="7" t="s">
        <v>20</v>
      </c>
      <c r="E15" s="7">
        <f>SUM(E5:E13)</f>
        <v>633.93520000000001</v>
      </c>
      <c r="H15" s="8" t="s">
        <v>21</v>
      </c>
      <c r="I15" s="9">
        <f>SUM(I5:I14)</f>
        <v>5404.5744000000004</v>
      </c>
    </row>
    <row r="18" spans="6:9" x14ac:dyDescent="0.3">
      <c r="F18" s="10" t="s">
        <v>22</v>
      </c>
      <c r="G18" s="10"/>
      <c r="H18" s="10"/>
      <c r="I18" s="11">
        <f>I15/E15</f>
        <v>8.5254366692368571</v>
      </c>
    </row>
    <row r="20" spans="6:9" x14ac:dyDescent="0.3">
      <c r="F20" s="8" t="s">
        <v>23</v>
      </c>
      <c r="G20" s="8"/>
      <c r="H20" s="8"/>
      <c r="I20" s="8">
        <v>2</v>
      </c>
    </row>
    <row r="22" spans="6:9" x14ac:dyDescent="0.3">
      <c r="F22" s="10" t="s">
        <v>24</v>
      </c>
      <c r="G22" s="10"/>
      <c r="H22" s="10"/>
      <c r="I22" s="11">
        <f>I18+I20</f>
        <v>10.525436669236857</v>
      </c>
    </row>
  </sheetData>
  <mergeCells count="8">
    <mergeCell ref="F18:H18"/>
    <mergeCell ref="F22:H22"/>
    <mergeCell ref="B3:B4"/>
    <mergeCell ref="C3:C4"/>
    <mergeCell ref="D3:D4"/>
    <mergeCell ref="E3:E4"/>
    <mergeCell ref="H3:H4"/>
    <mergeCell ref="I3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40284-B85F-4E55-9939-80742B20E211}">
  <dimension ref="B4:K33"/>
  <sheetViews>
    <sheetView tabSelected="1" workbookViewId="0">
      <selection activeCell="K25" sqref="K25"/>
    </sheetView>
  </sheetViews>
  <sheetFormatPr defaultRowHeight="14.4" x14ac:dyDescent="0.3"/>
  <cols>
    <col min="2" max="2" width="12.44140625" customWidth="1"/>
    <col min="3" max="3" width="28.33203125" bestFit="1" customWidth="1"/>
    <col min="4" max="5" width="30.44140625" bestFit="1" customWidth="1"/>
  </cols>
  <sheetData>
    <row r="4" spans="2:5" ht="16.2" x14ac:dyDescent="0.3">
      <c r="B4" s="12" t="s">
        <v>25</v>
      </c>
      <c r="C4" s="12" t="s">
        <v>26</v>
      </c>
      <c r="D4" s="13" t="s">
        <v>27</v>
      </c>
      <c r="E4" s="13" t="s">
        <v>27</v>
      </c>
    </row>
    <row r="5" spans="2:5" x14ac:dyDescent="0.3">
      <c r="B5" s="14">
        <v>0</v>
      </c>
      <c r="C5" s="14">
        <v>0</v>
      </c>
      <c r="D5" s="14">
        <v>0</v>
      </c>
      <c r="E5" s="15">
        <v>0</v>
      </c>
    </row>
    <row r="6" spans="2:5" x14ac:dyDescent="0.3">
      <c r="B6" s="14">
        <v>1</v>
      </c>
      <c r="C6" s="14">
        <v>9</v>
      </c>
      <c r="D6" s="16">
        <f>Table1[[#This Row],[Adiabatic rise (C) for 223kg/m3]]*406/223</f>
        <v>16.385650224215247</v>
      </c>
      <c r="E6" s="16">
        <f>D6-D5</f>
        <v>16.385650224215247</v>
      </c>
    </row>
    <row r="7" spans="2:5" x14ac:dyDescent="0.3">
      <c r="B7" s="14">
        <v>2</v>
      </c>
      <c r="C7" s="14">
        <v>11</v>
      </c>
      <c r="D7" s="16">
        <f>Table1[[#This Row],[Adiabatic rise (C) for 223kg/m3]]*406/223</f>
        <v>20.026905829596412</v>
      </c>
      <c r="E7" s="16">
        <f t="shared" ref="E7:E33" si="0">D7-D6</f>
        <v>3.6412556053811649</v>
      </c>
    </row>
    <row r="8" spans="2:5" x14ac:dyDescent="0.3">
      <c r="B8" s="14">
        <v>3</v>
      </c>
      <c r="C8" s="14">
        <v>13.2</v>
      </c>
      <c r="D8" s="16">
        <f>Table1[[#This Row],[Adiabatic rise (C) for 223kg/m3]]*406/223</f>
        <v>24.032286995515694</v>
      </c>
      <c r="E8" s="16">
        <f t="shared" si="0"/>
        <v>4.0053811659192817</v>
      </c>
    </row>
    <row r="9" spans="2:5" x14ac:dyDescent="0.3">
      <c r="B9" s="14">
        <v>4</v>
      </c>
      <c r="C9" s="14">
        <v>13.9</v>
      </c>
      <c r="D9" s="16">
        <f>Table1[[#This Row],[Adiabatic rise (C) for 223kg/m3]]*406/223</f>
        <v>25.306726457399105</v>
      </c>
      <c r="E9" s="16">
        <f t="shared" si="0"/>
        <v>1.2744394618834107</v>
      </c>
    </row>
    <row r="10" spans="2:5" x14ac:dyDescent="0.3">
      <c r="B10" s="14">
        <v>5</v>
      </c>
      <c r="C10" s="14">
        <v>14.8</v>
      </c>
      <c r="D10" s="16">
        <f>Table1[[#This Row],[Adiabatic rise (C) for 223kg/m3]]*406/223</f>
        <v>26.945291479820629</v>
      </c>
      <c r="E10" s="16">
        <f t="shared" si="0"/>
        <v>1.638565022421524</v>
      </c>
    </row>
    <row r="11" spans="2:5" x14ac:dyDescent="0.3">
      <c r="B11" s="14">
        <v>6</v>
      </c>
      <c r="C11" s="14">
        <v>15.7</v>
      </c>
      <c r="D11" s="16">
        <f>Table1[[#This Row],[Adiabatic rise (C) for 223kg/m3]]*406/223</f>
        <v>28.583856502242153</v>
      </c>
      <c r="E11" s="16">
        <f t="shared" si="0"/>
        <v>1.638565022421524</v>
      </c>
    </row>
    <row r="12" spans="2:5" x14ac:dyDescent="0.3">
      <c r="B12" s="14">
        <v>7</v>
      </c>
      <c r="C12" s="14">
        <v>16.5</v>
      </c>
      <c r="D12" s="16">
        <f>Table1[[#This Row],[Adiabatic rise (C) for 223kg/m3]]*406/223</f>
        <v>30.04035874439462</v>
      </c>
      <c r="E12" s="16">
        <f t="shared" si="0"/>
        <v>1.4565022421524674</v>
      </c>
    </row>
    <row r="13" spans="2:5" x14ac:dyDescent="0.3">
      <c r="B13" s="14">
        <v>8</v>
      </c>
      <c r="C13" s="14">
        <v>16.899999999999999</v>
      </c>
      <c r="D13" s="16">
        <f>Table1[[#This Row],[Adiabatic rise (C) for 223kg/m3]]*406/223</f>
        <v>30.76860986547085</v>
      </c>
      <c r="E13" s="16">
        <f t="shared" si="0"/>
        <v>0.72825112107623013</v>
      </c>
    </row>
    <row r="14" spans="2:5" x14ac:dyDescent="0.3">
      <c r="B14" s="14">
        <v>9</v>
      </c>
      <c r="C14" s="14">
        <v>17.399999999999999</v>
      </c>
      <c r="D14" s="16">
        <f>Table1[[#This Row],[Adiabatic rise (C) for 223kg/m3]]*406/223</f>
        <v>31.678923766816141</v>
      </c>
      <c r="E14" s="16">
        <f t="shared" si="0"/>
        <v>0.91031390134529033</v>
      </c>
    </row>
    <row r="15" spans="2:5" x14ac:dyDescent="0.3">
      <c r="B15" s="14">
        <v>10</v>
      </c>
      <c r="C15" s="14">
        <v>17.8</v>
      </c>
      <c r="D15" s="16">
        <f>Table1[[#This Row],[Adiabatic rise (C) for 223kg/m3]]*406/223</f>
        <v>32.407174887892374</v>
      </c>
      <c r="E15" s="16">
        <f t="shared" si="0"/>
        <v>0.72825112107623369</v>
      </c>
    </row>
    <row r="16" spans="2:5" x14ac:dyDescent="0.3">
      <c r="B16" s="14">
        <v>11</v>
      </c>
      <c r="C16" s="14">
        <v>18</v>
      </c>
      <c r="D16" s="16">
        <f>Table1[[#This Row],[Adiabatic rise (C) for 223kg/m3]]*406/223</f>
        <v>32.771300448430495</v>
      </c>
      <c r="E16" s="16">
        <f t="shared" si="0"/>
        <v>0.3641255605381204</v>
      </c>
    </row>
    <row r="17" spans="2:11" x14ac:dyDescent="0.3">
      <c r="B17" s="14">
        <v>12</v>
      </c>
      <c r="C17" s="14">
        <v>18.350000000000001</v>
      </c>
      <c r="D17" s="16">
        <f>Table1[[#This Row],[Adiabatic rise (C) for 223kg/m3]]*406/223</f>
        <v>33.408520179372196</v>
      </c>
      <c r="E17" s="16">
        <f t="shared" si="0"/>
        <v>0.63721973094170181</v>
      </c>
    </row>
    <row r="18" spans="2:11" x14ac:dyDescent="0.3">
      <c r="B18" s="14">
        <v>13</v>
      </c>
      <c r="C18" s="14">
        <v>18.8</v>
      </c>
      <c r="D18" s="16">
        <f>Table1[[#This Row],[Adiabatic rise (C) for 223kg/m3]]*406/223</f>
        <v>34.227802690582962</v>
      </c>
      <c r="E18" s="16">
        <f t="shared" si="0"/>
        <v>0.81928251121076556</v>
      </c>
      <c r="I18" s="17" t="s">
        <v>28</v>
      </c>
      <c r="J18" s="17"/>
      <c r="K18" s="17"/>
    </row>
    <row r="19" spans="2:11" x14ac:dyDescent="0.3">
      <c r="B19" s="14">
        <v>14</v>
      </c>
      <c r="C19" s="14">
        <v>19.5</v>
      </c>
      <c r="D19" s="16">
        <f>Table1[[#This Row],[Adiabatic rise (C) for 223kg/m3]]*406/223</f>
        <v>35.502242152466366</v>
      </c>
      <c r="E19" s="16">
        <f t="shared" si="0"/>
        <v>1.2744394618834036</v>
      </c>
    </row>
    <row r="20" spans="2:11" x14ac:dyDescent="0.3">
      <c r="B20" s="14">
        <v>15</v>
      </c>
      <c r="C20" s="14">
        <v>20</v>
      </c>
      <c r="D20" s="16">
        <f>Table1[[#This Row],[Adiabatic rise (C) for 223kg/m3]]*406/223</f>
        <v>36.412556053811656</v>
      </c>
      <c r="E20" s="16">
        <f t="shared" si="0"/>
        <v>0.91031390134529033</v>
      </c>
    </row>
    <row r="21" spans="2:11" x14ac:dyDescent="0.3">
      <c r="B21" s="14">
        <v>16</v>
      </c>
      <c r="C21" s="14">
        <v>20.3</v>
      </c>
      <c r="D21" s="16">
        <f>Table1[[#This Row],[Adiabatic rise (C) for 223kg/m3]]*406/223</f>
        <v>36.95874439461884</v>
      </c>
      <c r="E21" s="16">
        <f t="shared" si="0"/>
        <v>0.54618834080718415</v>
      </c>
    </row>
    <row r="22" spans="2:11" x14ac:dyDescent="0.3">
      <c r="B22" s="14">
        <v>17</v>
      </c>
      <c r="C22" s="14">
        <v>20.5</v>
      </c>
      <c r="D22" s="16">
        <f>Table1[[#This Row],[Adiabatic rise (C) for 223kg/m3]]*406/223</f>
        <v>37.322869955156953</v>
      </c>
      <c r="E22" s="16">
        <f t="shared" si="0"/>
        <v>0.36412556053811329</v>
      </c>
    </row>
    <row r="23" spans="2:11" x14ac:dyDescent="0.3">
      <c r="B23" s="14">
        <v>18</v>
      </c>
      <c r="C23" s="14">
        <v>20.8</v>
      </c>
      <c r="D23" s="16">
        <f>Table1[[#This Row],[Adiabatic rise (C) for 223kg/m3]]*406/223</f>
        <v>37.86905829596413</v>
      </c>
      <c r="E23" s="16">
        <f t="shared" si="0"/>
        <v>0.54618834080717704</v>
      </c>
    </row>
    <row r="24" spans="2:11" x14ac:dyDescent="0.3">
      <c r="B24" s="14">
        <v>19</v>
      </c>
      <c r="C24" s="14">
        <v>20.9</v>
      </c>
      <c r="D24" s="16">
        <f>Table1[[#This Row],[Adiabatic rise (C) for 223kg/m3]]*406/223</f>
        <v>38.05112107623318</v>
      </c>
      <c r="E24" s="16">
        <f t="shared" si="0"/>
        <v>0.18206278026904954</v>
      </c>
    </row>
    <row r="25" spans="2:11" x14ac:dyDescent="0.3">
      <c r="B25" s="14">
        <v>20</v>
      </c>
      <c r="C25" s="14">
        <v>21</v>
      </c>
      <c r="D25" s="16">
        <f>Table1[[#This Row],[Adiabatic rise (C) for 223kg/m3]]*406/223</f>
        <v>38.233183856502244</v>
      </c>
      <c r="E25" s="16">
        <f t="shared" si="0"/>
        <v>0.18206278026906375</v>
      </c>
    </row>
    <row r="26" spans="2:11" x14ac:dyDescent="0.3">
      <c r="B26" s="14">
        <v>21</v>
      </c>
      <c r="C26" s="14">
        <v>21.3</v>
      </c>
      <c r="D26" s="16">
        <f>Table1[[#This Row],[Adiabatic rise (C) for 223kg/m3]]*406/223</f>
        <v>38.779372197309421</v>
      </c>
      <c r="E26" s="16">
        <f t="shared" si="0"/>
        <v>0.54618834080717704</v>
      </c>
    </row>
    <row r="27" spans="2:11" x14ac:dyDescent="0.3">
      <c r="B27" s="14">
        <v>22</v>
      </c>
      <c r="C27" s="14">
        <v>21.45</v>
      </c>
      <c r="D27" s="16">
        <f>Table1[[#This Row],[Adiabatic rise (C) for 223kg/m3]]*406/223</f>
        <v>39.052466367713002</v>
      </c>
      <c r="E27" s="16">
        <f t="shared" si="0"/>
        <v>0.27309417040358142</v>
      </c>
    </row>
    <row r="28" spans="2:11" x14ac:dyDescent="0.3">
      <c r="B28" s="14">
        <v>23</v>
      </c>
      <c r="C28" s="14">
        <v>21.6</v>
      </c>
      <c r="D28" s="16">
        <f>Table1[[#This Row],[Adiabatic rise (C) for 223kg/m3]]*406/223</f>
        <v>39.325560538116591</v>
      </c>
      <c r="E28" s="16">
        <f t="shared" si="0"/>
        <v>0.27309417040358852</v>
      </c>
    </row>
    <row r="29" spans="2:11" x14ac:dyDescent="0.3">
      <c r="B29" s="14">
        <v>24</v>
      </c>
      <c r="C29" s="14">
        <v>21.7</v>
      </c>
      <c r="D29" s="16">
        <f>Table1[[#This Row],[Adiabatic rise (C) for 223kg/m3]]*406/223</f>
        <v>39.507623318385647</v>
      </c>
      <c r="E29" s="16">
        <f t="shared" si="0"/>
        <v>0.18206278026905665</v>
      </c>
    </row>
    <row r="30" spans="2:11" x14ac:dyDescent="0.3">
      <c r="B30" s="14">
        <v>25</v>
      </c>
      <c r="C30" s="14">
        <v>21.8</v>
      </c>
      <c r="D30" s="16">
        <f>Table1[[#This Row],[Adiabatic rise (C) for 223kg/m3]]*406/223</f>
        <v>39.689686098654711</v>
      </c>
      <c r="E30" s="16">
        <f t="shared" si="0"/>
        <v>0.18206278026906375</v>
      </c>
    </row>
    <row r="31" spans="2:11" x14ac:dyDescent="0.3">
      <c r="B31" s="14">
        <v>26</v>
      </c>
      <c r="C31" s="14">
        <v>21.9</v>
      </c>
      <c r="D31" s="16">
        <f>Table1[[#This Row],[Adiabatic rise (C) for 223kg/m3]]*406/223</f>
        <v>39.871748878923768</v>
      </c>
      <c r="E31" s="16">
        <f t="shared" si="0"/>
        <v>0.18206278026905665</v>
      </c>
    </row>
    <row r="32" spans="2:11" x14ac:dyDescent="0.3">
      <c r="B32" s="14">
        <v>27</v>
      </c>
      <c r="C32" s="14">
        <v>21.95</v>
      </c>
      <c r="D32" s="16">
        <f>Table1[[#This Row],[Adiabatic rise (C) for 223kg/m3]]*406/223</f>
        <v>39.962780269058293</v>
      </c>
      <c r="E32" s="16">
        <f>D32-D31</f>
        <v>9.103139013452477E-2</v>
      </c>
    </row>
    <row r="33" spans="2:5" x14ac:dyDescent="0.3">
      <c r="B33" s="14">
        <v>28</v>
      </c>
      <c r="C33" s="14">
        <v>22</v>
      </c>
      <c r="D33" s="16">
        <f>Table1[[#This Row],[Adiabatic rise (C) for 223kg/m3]]*406/223</f>
        <v>40.053811659192824</v>
      </c>
      <c r="E33" s="16">
        <f t="shared" si="0"/>
        <v>9.1031390134531875E-2</v>
      </c>
    </row>
  </sheetData>
  <mergeCells count="1">
    <mergeCell ref="I18:K18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28A9-A25A-48B1-9E3A-7C562CEF7447}">
  <dimension ref="B1:BQ186"/>
  <sheetViews>
    <sheetView topLeftCell="A189" workbookViewId="0">
      <selection activeCell="F10" sqref="F10"/>
    </sheetView>
  </sheetViews>
  <sheetFormatPr defaultRowHeight="14.4" x14ac:dyDescent="0.3"/>
  <cols>
    <col min="2" max="2" width="14.33203125" bestFit="1" customWidth="1"/>
    <col min="3" max="3" width="12.33203125" bestFit="1" customWidth="1"/>
    <col min="4" max="4" width="11.33203125" bestFit="1" customWidth="1"/>
    <col min="5" max="5" width="11.44140625" bestFit="1" customWidth="1"/>
    <col min="6" max="6" width="16.6640625" customWidth="1"/>
    <col min="7" max="7" width="11.44140625" bestFit="1" customWidth="1"/>
    <col min="8" max="8" width="16.6640625" bestFit="1" customWidth="1"/>
    <col min="9" max="9" width="16.88671875" bestFit="1" customWidth="1"/>
    <col min="11" max="11" width="17.44140625" bestFit="1" customWidth="1"/>
    <col min="12" max="12" width="11.109375" bestFit="1" customWidth="1"/>
    <col min="13" max="13" width="16.88671875" bestFit="1" customWidth="1"/>
    <col min="15" max="15" width="16.88671875" bestFit="1" customWidth="1"/>
    <col min="17" max="17" width="16.88671875" bestFit="1" customWidth="1"/>
    <col min="19" max="19" width="16.88671875" bestFit="1" customWidth="1"/>
    <col min="21" max="21" width="16.88671875" bestFit="1" customWidth="1"/>
    <col min="22" max="22" width="14.88671875" bestFit="1" customWidth="1"/>
    <col min="23" max="23" width="16.88671875" bestFit="1" customWidth="1"/>
    <col min="24" max="24" width="14.88671875" bestFit="1" customWidth="1"/>
    <col min="25" max="25" width="16.88671875" bestFit="1" customWidth="1"/>
    <col min="26" max="26" width="14.88671875" bestFit="1" customWidth="1"/>
    <col min="27" max="27" width="16.88671875" customWidth="1"/>
    <col min="28" max="28" width="14.88671875" bestFit="1" customWidth="1"/>
    <col min="29" max="29" width="16.88671875" customWidth="1"/>
    <col min="30" max="30" width="16.6640625" bestFit="1" customWidth="1"/>
    <col min="31" max="31" width="16.88671875" bestFit="1" customWidth="1"/>
    <col min="32" max="32" width="14.88671875" bestFit="1" customWidth="1"/>
    <col min="33" max="33" width="16.88671875" bestFit="1" customWidth="1"/>
    <col min="35" max="35" width="16.88671875" bestFit="1" customWidth="1"/>
    <col min="37" max="37" width="16.88671875" bestFit="1" customWidth="1"/>
    <col min="38" max="38" width="14.88671875" bestFit="1" customWidth="1"/>
    <col min="39" max="39" width="16.88671875" bestFit="1" customWidth="1"/>
    <col min="41" max="41" width="16.88671875" bestFit="1" customWidth="1"/>
    <col min="43" max="43" width="16.88671875" bestFit="1" customWidth="1"/>
    <col min="44" max="44" width="14" bestFit="1" customWidth="1"/>
    <col min="45" max="45" width="16.88671875" bestFit="1" customWidth="1"/>
    <col min="47" max="47" width="16.88671875" bestFit="1" customWidth="1"/>
    <col min="49" max="49" width="16.88671875" bestFit="1" customWidth="1"/>
    <col min="51" max="51" width="16.88671875" bestFit="1" customWidth="1"/>
    <col min="53" max="53" width="16.88671875" bestFit="1" customWidth="1"/>
    <col min="55" max="55" width="16.88671875" bestFit="1" customWidth="1"/>
    <col min="57" max="57" width="16.88671875" bestFit="1" customWidth="1"/>
    <col min="59" max="59" width="16.88671875" bestFit="1" customWidth="1"/>
  </cols>
  <sheetData>
    <row r="1" spans="2:60" x14ac:dyDescent="0.3">
      <c r="B1" t="s">
        <v>29</v>
      </c>
    </row>
    <row r="2" spans="2:60" x14ac:dyDescent="0.3">
      <c r="B2" s="18" t="s">
        <v>30</v>
      </c>
      <c r="C2" s="18" t="s">
        <v>31</v>
      </c>
      <c r="D2" s="19" t="s">
        <v>25</v>
      </c>
      <c r="E2" s="20">
        <v>0</v>
      </c>
      <c r="F2" s="20">
        <v>1</v>
      </c>
      <c r="G2" s="21">
        <v>2</v>
      </c>
      <c r="H2" s="21"/>
      <c r="I2" s="21">
        <v>3</v>
      </c>
      <c r="J2" s="21"/>
      <c r="K2" s="21">
        <v>4</v>
      </c>
      <c r="L2" s="21"/>
      <c r="M2" s="21">
        <v>5</v>
      </c>
      <c r="N2" s="21"/>
      <c r="O2" s="21">
        <v>6</v>
      </c>
      <c r="P2" s="21"/>
      <c r="Q2" s="21">
        <v>7</v>
      </c>
      <c r="R2" s="21"/>
      <c r="S2" s="21">
        <v>8</v>
      </c>
      <c r="T2" s="21"/>
      <c r="U2" s="21">
        <v>9</v>
      </c>
      <c r="V2" s="21"/>
      <c r="W2" s="21">
        <v>10</v>
      </c>
      <c r="X2" s="21"/>
      <c r="Y2" s="21">
        <v>11</v>
      </c>
      <c r="Z2" s="21"/>
      <c r="AA2" s="21">
        <v>12</v>
      </c>
      <c r="AB2" s="21"/>
      <c r="AC2" s="21">
        <v>13</v>
      </c>
      <c r="AD2" s="21"/>
      <c r="AE2" s="21">
        <v>14</v>
      </c>
      <c r="AF2" s="21"/>
      <c r="AG2" s="21">
        <v>15</v>
      </c>
      <c r="AH2" s="21"/>
      <c r="AI2" s="21">
        <v>16</v>
      </c>
      <c r="AJ2" s="21"/>
      <c r="AK2" s="21">
        <v>17</v>
      </c>
      <c r="AL2" s="21"/>
      <c r="AM2" s="21">
        <v>18</v>
      </c>
      <c r="AN2" s="21"/>
      <c r="AO2" s="21">
        <v>19</v>
      </c>
      <c r="AP2" s="21"/>
      <c r="AQ2" s="21">
        <v>20</v>
      </c>
      <c r="AR2" s="21"/>
      <c r="AS2" s="21">
        <v>21</v>
      </c>
      <c r="AT2" s="21"/>
      <c r="AU2" s="21">
        <v>22</v>
      </c>
      <c r="AV2" s="21"/>
      <c r="AW2" s="21">
        <v>23</v>
      </c>
      <c r="AX2" s="21"/>
      <c r="AY2" s="21">
        <v>24</v>
      </c>
      <c r="AZ2" s="21"/>
      <c r="BA2" s="21">
        <v>25</v>
      </c>
      <c r="BB2" s="21"/>
      <c r="BC2" s="21">
        <v>26</v>
      </c>
      <c r="BD2" s="21"/>
      <c r="BE2" s="21">
        <v>27</v>
      </c>
      <c r="BF2" s="21"/>
      <c r="BG2" s="21">
        <v>28</v>
      </c>
      <c r="BH2" s="21"/>
    </row>
    <row r="3" spans="2:60" x14ac:dyDescent="0.3">
      <c r="B3" s="18"/>
      <c r="C3" s="18"/>
      <c r="D3" s="18" t="s">
        <v>32</v>
      </c>
      <c r="E3" s="22" t="s">
        <v>33</v>
      </c>
      <c r="F3" s="22">
        <f>'[1]Adieabatic Temperature Rise'!E6</f>
        <v>16.385650224215247</v>
      </c>
      <c r="G3" s="22" t="s">
        <v>33</v>
      </c>
      <c r="H3" s="22">
        <f>'[1]Adieabatic Temperature Rise'!E7</f>
        <v>3.6412556053811649</v>
      </c>
      <c r="I3" s="22" t="s">
        <v>34</v>
      </c>
      <c r="J3" s="22">
        <f>'[1]Adieabatic Temperature Rise'!E8</f>
        <v>4.0053811659192817</v>
      </c>
      <c r="K3" s="22" t="s">
        <v>34</v>
      </c>
      <c r="L3" s="22">
        <f>'[1]Adieabatic Temperature Rise'!E9</f>
        <v>1.2744394618834107</v>
      </c>
      <c r="M3" s="22" t="s">
        <v>34</v>
      </c>
      <c r="N3" s="22">
        <f>'[1]Adieabatic Temperature Rise'!E10</f>
        <v>1.638565022421524</v>
      </c>
      <c r="O3" s="22" t="s">
        <v>34</v>
      </c>
      <c r="P3" s="22">
        <f>'[1]Adieabatic Temperature Rise'!E11</f>
        <v>1.638565022421524</v>
      </c>
      <c r="Q3" s="22" t="s">
        <v>34</v>
      </c>
      <c r="R3" s="22">
        <f>'[1]Adieabatic Temperature Rise'!E12</f>
        <v>1.4565022421524674</v>
      </c>
      <c r="S3" s="22" t="s">
        <v>34</v>
      </c>
      <c r="T3" s="22">
        <f>'[1]Adieabatic Temperature Rise'!E13</f>
        <v>0.72825112107623013</v>
      </c>
      <c r="U3" s="22" t="s">
        <v>34</v>
      </c>
      <c r="V3" s="22">
        <f>'[1]Adieabatic Temperature Rise'!E14</f>
        <v>0.91031390134529033</v>
      </c>
      <c r="W3" s="22" t="s">
        <v>34</v>
      </c>
      <c r="X3" s="22">
        <f>'[1]Adieabatic Temperature Rise'!E15</f>
        <v>0.72825112107623369</v>
      </c>
      <c r="Y3" s="22" t="s">
        <v>34</v>
      </c>
      <c r="Z3" s="22">
        <f>'[1]Adieabatic Temperature Rise'!E16</f>
        <v>0.3641255605381204</v>
      </c>
      <c r="AA3" s="22" t="s">
        <v>34</v>
      </c>
      <c r="AB3" s="22">
        <f>'[1]Adieabatic Temperature Rise'!E17</f>
        <v>0.63721973094170181</v>
      </c>
      <c r="AC3" s="22" t="s">
        <v>34</v>
      </c>
      <c r="AD3" s="22">
        <f>'[1]Adieabatic Temperature Rise'!E18</f>
        <v>0.81928251121076556</v>
      </c>
      <c r="AE3" s="22" t="s">
        <v>34</v>
      </c>
      <c r="AF3" s="22">
        <f>'[1]Adieabatic Temperature Rise'!E19</f>
        <v>1.2744394618834036</v>
      </c>
      <c r="AG3" s="22" t="s">
        <v>34</v>
      </c>
      <c r="AH3" s="22">
        <f>'[1]Adieabatic Temperature Rise'!E20</f>
        <v>0.91031390134529033</v>
      </c>
      <c r="AI3" s="22" t="s">
        <v>34</v>
      </c>
      <c r="AJ3" s="22">
        <f>'[1]Adieabatic Temperature Rise'!E21</f>
        <v>0.54618834080718415</v>
      </c>
      <c r="AK3" s="22" t="s">
        <v>34</v>
      </c>
      <c r="AL3" s="22">
        <f>'[1]Adieabatic Temperature Rise'!E22</f>
        <v>0.36412556053811329</v>
      </c>
      <c r="AM3" s="22" t="s">
        <v>34</v>
      </c>
      <c r="AN3" s="22">
        <f>'[1]Adieabatic Temperature Rise'!E23</f>
        <v>0.54618834080717704</v>
      </c>
      <c r="AO3" s="22" t="s">
        <v>34</v>
      </c>
      <c r="AP3" s="22">
        <f>'[1]Adieabatic Temperature Rise'!E24</f>
        <v>0.18206278026904954</v>
      </c>
      <c r="AQ3" s="22" t="s">
        <v>34</v>
      </c>
      <c r="AR3" s="22">
        <f>'[1]Adieabatic Temperature Rise'!E25</f>
        <v>0.18206278026906375</v>
      </c>
      <c r="AS3" s="22" t="s">
        <v>34</v>
      </c>
      <c r="AT3" s="22">
        <f>'[1]Adieabatic Temperature Rise'!E26</f>
        <v>0.54618834080717704</v>
      </c>
      <c r="AU3" s="22" t="s">
        <v>34</v>
      </c>
      <c r="AV3" s="22">
        <f>'[1]Adieabatic Temperature Rise'!E27</f>
        <v>0.27309417040358142</v>
      </c>
      <c r="AW3" s="22" t="s">
        <v>34</v>
      </c>
      <c r="AX3" s="22">
        <f>'[1]Adieabatic Temperature Rise'!E28</f>
        <v>0.27309417040358852</v>
      </c>
      <c r="AY3" s="22" t="s">
        <v>34</v>
      </c>
      <c r="AZ3" s="22">
        <f>'[1]Adieabatic Temperature Rise'!E29</f>
        <v>0.18206278026905665</v>
      </c>
      <c r="BA3" s="22" t="s">
        <v>34</v>
      </c>
      <c r="BB3" s="22">
        <f>'[1]Adieabatic Temperature Rise'!E30</f>
        <v>0.18206278026906375</v>
      </c>
      <c r="BC3" s="22" t="s">
        <v>34</v>
      </c>
      <c r="BD3" s="22">
        <f>'[1]Adieabatic Temperature Rise'!E31</f>
        <v>0.18206278026905665</v>
      </c>
      <c r="BE3" s="22" t="s">
        <v>34</v>
      </c>
      <c r="BF3" s="22">
        <f>'[1]Adieabatic Temperature Rise'!E32</f>
        <v>9.103139013452477E-2</v>
      </c>
      <c r="BG3" s="22" t="s">
        <v>34</v>
      </c>
      <c r="BH3" s="22">
        <f>'[1]Adieabatic Temperature Rise'!E33</f>
        <v>9.1031390134531875E-2</v>
      </c>
    </row>
    <row r="4" spans="2:60" x14ac:dyDescent="0.3">
      <c r="B4" s="18"/>
      <c r="C4" s="18"/>
      <c r="D4" s="18"/>
      <c r="E4" s="22"/>
      <c r="F4" s="22"/>
      <c r="G4" s="22"/>
      <c r="H4" s="22"/>
      <c r="I4" s="22"/>
      <c r="J4" s="22">
        <f>J3</f>
        <v>4.0053811659192817</v>
      </c>
      <c r="K4" s="22" t="str">
        <f t="shared" ref="K4:BH4" si="0">K3</f>
        <v>∆ Temp (C) (1st)</v>
      </c>
      <c r="L4" s="22">
        <f t="shared" si="0"/>
        <v>1.2744394618834107</v>
      </c>
      <c r="M4" s="22" t="str">
        <f t="shared" si="0"/>
        <v>∆ Temp (C) (1st)</v>
      </c>
      <c r="N4" s="22">
        <f t="shared" si="0"/>
        <v>1.638565022421524</v>
      </c>
      <c r="O4" s="22" t="str">
        <f t="shared" si="0"/>
        <v>∆ Temp (C) (1st)</v>
      </c>
      <c r="P4" s="22">
        <f t="shared" si="0"/>
        <v>1.638565022421524</v>
      </c>
      <c r="Q4" s="22" t="str">
        <f t="shared" si="0"/>
        <v>∆ Temp (C) (1st)</v>
      </c>
      <c r="R4" s="22">
        <f t="shared" si="0"/>
        <v>1.4565022421524674</v>
      </c>
      <c r="S4" s="22" t="str">
        <f t="shared" si="0"/>
        <v>∆ Temp (C) (1st)</v>
      </c>
      <c r="T4" s="22">
        <f t="shared" si="0"/>
        <v>0.72825112107623013</v>
      </c>
      <c r="U4" s="22" t="str">
        <f t="shared" si="0"/>
        <v>∆ Temp (C) (1st)</v>
      </c>
      <c r="V4" s="22">
        <f t="shared" si="0"/>
        <v>0.91031390134529033</v>
      </c>
      <c r="W4" s="22" t="str">
        <f t="shared" si="0"/>
        <v>∆ Temp (C) (1st)</v>
      </c>
      <c r="X4" s="22">
        <f t="shared" si="0"/>
        <v>0.72825112107623369</v>
      </c>
      <c r="Y4" s="22" t="str">
        <f t="shared" si="0"/>
        <v>∆ Temp (C) (1st)</v>
      </c>
      <c r="Z4" s="22">
        <f t="shared" si="0"/>
        <v>0.3641255605381204</v>
      </c>
      <c r="AA4" s="22" t="str">
        <f t="shared" si="0"/>
        <v>∆ Temp (C) (1st)</v>
      </c>
      <c r="AB4" s="22">
        <f t="shared" si="0"/>
        <v>0.63721973094170181</v>
      </c>
      <c r="AC4" s="22" t="str">
        <f t="shared" si="0"/>
        <v>∆ Temp (C) (1st)</v>
      </c>
      <c r="AD4" s="22">
        <f t="shared" si="0"/>
        <v>0.81928251121076556</v>
      </c>
      <c r="AE4" s="22" t="str">
        <f t="shared" si="0"/>
        <v>∆ Temp (C) (1st)</v>
      </c>
      <c r="AF4" s="22">
        <f t="shared" si="0"/>
        <v>1.2744394618834036</v>
      </c>
      <c r="AG4" s="22" t="str">
        <f t="shared" si="0"/>
        <v>∆ Temp (C) (1st)</v>
      </c>
      <c r="AH4" s="22">
        <f t="shared" si="0"/>
        <v>0.91031390134529033</v>
      </c>
      <c r="AI4" s="22" t="str">
        <f t="shared" si="0"/>
        <v>∆ Temp (C) (1st)</v>
      </c>
      <c r="AJ4" s="22">
        <f t="shared" si="0"/>
        <v>0.54618834080718415</v>
      </c>
      <c r="AK4" s="22" t="str">
        <f t="shared" si="0"/>
        <v>∆ Temp (C) (1st)</v>
      </c>
      <c r="AL4" s="22">
        <f t="shared" si="0"/>
        <v>0.36412556053811329</v>
      </c>
      <c r="AM4" s="22" t="str">
        <f t="shared" si="0"/>
        <v>∆ Temp (C) (1st)</v>
      </c>
      <c r="AN4" s="22">
        <f t="shared" si="0"/>
        <v>0.54618834080717704</v>
      </c>
      <c r="AO4" s="22" t="str">
        <f t="shared" si="0"/>
        <v>∆ Temp (C) (1st)</v>
      </c>
      <c r="AP4" s="22">
        <f t="shared" si="0"/>
        <v>0.18206278026904954</v>
      </c>
      <c r="AQ4" s="22" t="str">
        <f t="shared" si="0"/>
        <v>∆ Temp (C) (1st)</v>
      </c>
      <c r="AR4" s="22">
        <f t="shared" si="0"/>
        <v>0.18206278026906375</v>
      </c>
      <c r="AS4" s="22" t="str">
        <f t="shared" si="0"/>
        <v>∆ Temp (C) (1st)</v>
      </c>
      <c r="AT4" s="22">
        <f t="shared" si="0"/>
        <v>0.54618834080717704</v>
      </c>
      <c r="AU4" s="22" t="str">
        <f t="shared" si="0"/>
        <v>∆ Temp (C) (1st)</v>
      </c>
      <c r="AV4" s="22">
        <f t="shared" si="0"/>
        <v>0.27309417040358142</v>
      </c>
      <c r="AW4" s="22" t="str">
        <f t="shared" si="0"/>
        <v>∆ Temp (C) (1st)</v>
      </c>
      <c r="AX4" s="22">
        <f t="shared" si="0"/>
        <v>0.27309417040358852</v>
      </c>
      <c r="AY4" s="22" t="str">
        <f t="shared" si="0"/>
        <v>∆ Temp (C) (1st)</v>
      </c>
      <c r="AZ4" s="22">
        <f t="shared" si="0"/>
        <v>0.18206278026905665</v>
      </c>
      <c r="BA4" s="22" t="str">
        <f t="shared" si="0"/>
        <v>∆ Temp (C) (1st)</v>
      </c>
      <c r="BB4" s="22">
        <f t="shared" si="0"/>
        <v>0.18206278026906375</v>
      </c>
      <c r="BC4" s="22" t="str">
        <f t="shared" si="0"/>
        <v>∆ Temp (C) (1st)</v>
      </c>
      <c r="BD4" s="22">
        <f t="shared" si="0"/>
        <v>0.18206278026905665</v>
      </c>
      <c r="BE4" s="22" t="str">
        <f t="shared" si="0"/>
        <v>∆ Temp (C) (1st)</v>
      </c>
      <c r="BF4" s="22">
        <f t="shared" si="0"/>
        <v>9.103139013452477E-2</v>
      </c>
      <c r="BG4" s="22" t="str">
        <f t="shared" si="0"/>
        <v>∆ Temp (C) (1st)</v>
      </c>
      <c r="BH4" s="22">
        <f t="shared" si="0"/>
        <v>9.1031390134531875E-2</v>
      </c>
    </row>
    <row r="5" spans="2:60" x14ac:dyDescent="0.3">
      <c r="B5" s="23" t="s">
        <v>35</v>
      </c>
      <c r="C5" s="24" t="s">
        <v>36</v>
      </c>
      <c r="D5" s="25">
        <v>8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  <c r="AF5" s="26">
        <v>0</v>
      </c>
      <c r="AG5" s="26">
        <v>0</v>
      </c>
      <c r="AH5" s="26">
        <v>0</v>
      </c>
      <c r="AI5" s="26">
        <v>0</v>
      </c>
      <c r="AJ5" s="26">
        <v>0</v>
      </c>
      <c r="AK5" s="26">
        <v>0</v>
      </c>
      <c r="AL5" s="26">
        <v>0</v>
      </c>
      <c r="AM5" s="26">
        <v>0</v>
      </c>
      <c r="AN5" s="26">
        <v>0</v>
      </c>
      <c r="AO5" s="26">
        <v>0</v>
      </c>
      <c r="AP5" s="26">
        <v>0</v>
      </c>
      <c r="AQ5" s="26">
        <v>0</v>
      </c>
      <c r="AR5" s="26">
        <v>0</v>
      </c>
      <c r="AS5" s="26">
        <v>0</v>
      </c>
      <c r="AT5" s="26">
        <v>0</v>
      </c>
      <c r="AU5" s="26">
        <v>0</v>
      </c>
      <c r="AV5" s="26">
        <v>0</v>
      </c>
      <c r="AW5" s="26">
        <v>0</v>
      </c>
      <c r="AX5" s="26">
        <v>0</v>
      </c>
      <c r="AY5" s="26">
        <v>0</v>
      </c>
      <c r="AZ5" s="26">
        <v>0</v>
      </c>
      <c r="BA5" s="26">
        <v>0</v>
      </c>
      <c r="BB5" s="26">
        <v>0</v>
      </c>
      <c r="BC5" s="26">
        <v>0</v>
      </c>
      <c r="BD5" s="26">
        <v>0</v>
      </c>
      <c r="BE5" s="26">
        <v>0</v>
      </c>
      <c r="BF5" s="26">
        <v>0</v>
      </c>
      <c r="BG5" s="26">
        <v>0</v>
      </c>
      <c r="BH5" s="26">
        <v>0</v>
      </c>
    </row>
    <row r="6" spans="2:60" x14ac:dyDescent="0.3">
      <c r="B6" s="23"/>
      <c r="C6" s="27"/>
      <c r="D6" s="25">
        <f>D5-0.2</f>
        <v>7.8</v>
      </c>
      <c r="E6" s="28">
        <v>0</v>
      </c>
      <c r="F6" s="29">
        <f t="shared" ref="F6:F25" si="1">$F$3</f>
        <v>16.385650224215247</v>
      </c>
      <c r="G6" s="5">
        <f>(F5+F7)/2</f>
        <v>8.1928251121076237</v>
      </c>
      <c r="H6" s="29">
        <f>G6+H$3</f>
        <v>11.834080717488789</v>
      </c>
      <c r="I6" s="28">
        <f t="shared" ref="I6:I69" si="2">(H7+H5)/2</f>
        <v>10.013452914798206</v>
      </c>
      <c r="J6" s="30">
        <f t="shared" ref="J6:J7" si="3">I6+$J$4</f>
        <v>14.018834080717488</v>
      </c>
      <c r="K6" s="30">
        <f>(J7+J5)/2</f>
        <v>9.9679372197309419</v>
      </c>
      <c r="L6" s="30">
        <f>K6+L$4</f>
        <v>11.242376681614353</v>
      </c>
      <c r="M6" s="30">
        <f t="shared" ref="M6" si="4">(L7+L5)/2</f>
        <v>10.15</v>
      </c>
      <c r="N6" s="30">
        <f t="shared" ref="N6" si="5">M6+N$4</f>
        <v>11.788565022421524</v>
      </c>
      <c r="O6" s="30">
        <f t="shared" ref="O6" si="6">(N7+N5)/2</f>
        <v>9.4445067264573996</v>
      </c>
      <c r="P6" s="30">
        <f t="shared" ref="P6" si="7">O6+P$4</f>
        <v>11.083071748878924</v>
      </c>
      <c r="Q6" s="30">
        <f t="shared" ref="Q6" si="8">(P7+P5)/2</f>
        <v>9.8769058295964118</v>
      </c>
      <c r="R6" s="30">
        <f t="shared" ref="R6" si="9">Q6+R$4</f>
        <v>11.333408071748879</v>
      </c>
      <c r="S6" s="30">
        <f t="shared" ref="S6" si="10">(R7+R5)/2</f>
        <v>9.5099355381165918</v>
      </c>
      <c r="T6" s="30">
        <f t="shared" ref="T6" si="11">S6+T$4</f>
        <v>10.238186659192822</v>
      </c>
      <c r="U6" s="30">
        <f t="shared" ref="U6" si="12">(T7+T5)/2</f>
        <v>9.4473514573991011</v>
      </c>
      <c r="V6" s="30">
        <f t="shared" ref="V6" si="13">U6+V$4</f>
        <v>10.357665358744391</v>
      </c>
      <c r="W6" s="30">
        <f t="shared" ref="W6" si="14">(V7+V5)/2</f>
        <v>9.0135299887892355</v>
      </c>
      <c r="X6" s="30">
        <f t="shared" ref="X6" si="15">W6+X$4</f>
        <v>9.7417811098654692</v>
      </c>
      <c r="Y6" s="30">
        <f t="shared" ref="Y6" si="16">(X7+X5)/2</f>
        <v>9.0348654708520169</v>
      </c>
      <c r="Z6" s="30">
        <f t="shared" ref="Z6" si="17">Y6+Z$4</f>
        <v>9.3989910313901373</v>
      </c>
      <c r="AA6" s="30">
        <f t="shared" ref="AA6:AO21" si="18">(Z7+Z5)/2</f>
        <v>8.5025451933856502</v>
      </c>
      <c r="AB6" s="30">
        <f t="shared" ref="AB6:AP21" si="19">AA6+AB$4</f>
        <v>9.139764924327352</v>
      </c>
      <c r="AC6" s="30">
        <f t="shared" ref="AC6" si="20">(AB7+AB5)/2</f>
        <v>8.5110793862107634</v>
      </c>
      <c r="AD6" s="30">
        <f t="shared" ref="AD6" si="21">AC6+AD$4</f>
        <v>9.330361897421529</v>
      </c>
      <c r="AE6" s="30">
        <f t="shared" ref="AE6" si="22">(AD7+AD5)/2</f>
        <v>8.3704430002802699</v>
      </c>
      <c r="AF6" s="30">
        <f t="shared" ref="AF6" si="23">AE6+AF$4</f>
        <v>9.6448824621636735</v>
      </c>
      <c r="AG6" s="30">
        <f t="shared" ref="AG6" si="24">(AF7+AF5)/2</f>
        <v>8.7244342068385663</v>
      </c>
      <c r="AH6" s="30">
        <f t="shared" ref="AH6" si="25">AG6+AH$4</f>
        <v>9.6347481081838566</v>
      </c>
      <c r="AI6" s="30">
        <f t="shared" ref="AI6" si="26">(AH7+AH5)/2</f>
        <v>8.666372803829173</v>
      </c>
      <c r="AJ6" s="30">
        <f t="shared" ref="AJ6" si="27">AI6+AJ$4</f>
        <v>9.2125611446363571</v>
      </c>
      <c r="AK6" s="30">
        <f t="shared" ref="AK6" si="28">(AJ7+AJ5)/2</f>
        <v>8.5901651288361869</v>
      </c>
      <c r="AL6" s="30">
        <f t="shared" ref="AL6" si="29">AK6+AL$4</f>
        <v>8.9542906893743002</v>
      </c>
      <c r="AM6" s="30">
        <f t="shared" ref="AM6" si="30">(AL7+AL5)/2</f>
        <v>8.2806395115873741</v>
      </c>
      <c r="AN6" s="30">
        <f t="shared" ref="AN6" si="31">AM6+AN$4</f>
        <v>8.8268278523945511</v>
      </c>
      <c r="AO6" s="30">
        <f t="shared" ref="AO6" si="32">(AN7+AN5)/2</f>
        <v>8.2632544273752835</v>
      </c>
      <c r="AP6" s="30">
        <f t="shared" ref="AP6" si="33">AO6+AP$4</f>
        <v>8.445317207644333</v>
      </c>
      <c r="AQ6" s="30">
        <f t="shared" ref="AQ6:BE7" si="34">(AP7+AP5)/2</f>
        <v>7.9506743358389649</v>
      </c>
      <c r="AR6" s="30">
        <f t="shared" ref="AR6:BF7" si="35">AQ6+AR$4</f>
        <v>8.1327371161080286</v>
      </c>
      <c r="AS6" s="30">
        <f t="shared" ref="AS6" si="36">(AR7+AR5)/2</f>
        <v>7.7762956627815836</v>
      </c>
      <c r="AT6" s="30">
        <f t="shared" ref="AT6" si="37">AS6+AT$4</f>
        <v>8.3224840035887606</v>
      </c>
      <c r="AU6" s="30">
        <f t="shared" ref="AU6" si="38">(AT7+AT5)/2</f>
        <v>7.7184558098626264</v>
      </c>
      <c r="AV6" s="30">
        <f t="shared" ref="AV6" si="39">AU6+AV$4</f>
        <v>7.9915499802662078</v>
      </c>
      <c r="AW6" s="30">
        <f t="shared" ref="AW6" si="40">(AV7+AV5)/2</f>
        <v>7.6487300376721024</v>
      </c>
      <c r="AX6" s="30">
        <f t="shared" ref="AX6" si="41">AW6+AX$4</f>
        <v>7.9218242080756909</v>
      </c>
      <c r="AY6" s="30">
        <f t="shared" ref="AY6" si="42">(AX7+AX5)/2</f>
        <v>7.4539301239321567</v>
      </c>
      <c r="AZ6" s="30">
        <f t="shared" ref="AZ6" si="43">AY6+AZ$4</f>
        <v>7.6359929042012133</v>
      </c>
      <c r="BA6" s="30">
        <f t="shared" ref="BA6" si="44">(AZ7+AZ5)/2</f>
        <v>7.3583727571461761</v>
      </c>
      <c r="BB6" s="30">
        <f t="shared" ref="BB6" si="45">BA6+BB$4</f>
        <v>7.5404355374152399</v>
      </c>
      <c r="BC6" s="30">
        <f t="shared" ref="BC6" si="46">(BB7+BB5)/2</f>
        <v>7.1612158786021007</v>
      </c>
      <c r="BD6" s="30">
        <f t="shared" ref="BD6" si="47">BC6+BD$4</f>
        <v>7.3432786588711574</v>
      </c>
      <c r="BE6" s="30">
        <f t="shared" ref="BE6" si="48">(BD7+BD5)/2</f>
        <v>7.0909693508404796</v>
      </c>
      <c r="BF6" s="30">
        <f t="shared" ref="BF6" si="49">BE6+BF$4</f>
        <v>7.1820007409750044</v>
      </c>
      <c r="BG6" s="30">
        <f t="shared" ref="AA6:BG21" si="50">(BF7+BF5)/2</f>
        <v>6.8863956120516656</v>
      </c>
      <c r="BH6" s="30">
        <f t="shared" ref="AB6:BH21" si="51">BG6+BH$4</f>
        <v>6.9774270021861975</v>
      </c>
    </row>
    <row r="7" spans="2:60" x14ac:dyDescent="0.3">
      <c r="B7" s="23"/>
      <c r="C7" s="27"/>
      <c r="D7" s="25">
        <f t="shared" ref="D7:D44" si="52">D6-0.2</f>
        <v>7.6</v>
      </c>
      <c r="E7" s="28">
        <v>0</v>
      </c>
      <c r="F7" s="29">
        <f t="shared" si="1"/>
        <v>16.385650224215247</v>
      </c>
      <c r="G7" s="5">
        <f t="shared" ref="G7:G25" si="53">(F6+F8)/2</f>
        <v>16.385650224215247</v>
      </c>
      <c r="H7" s="29">
        <f>G7+H$3</f>
        <v>20.026905829596412</v>
      </c>
      <c r="I7" s="28">
        <f t="shared" si="2"/>
        <v>15.9304932735426</v>
      </c>
      <c r="J7" s="30">
        <f t="shared" si="3"/>
        <v>19.935874439461884</v>
      </c>
      <c r="K7" s="30">
        <f t="shared" ref="K7:Y38" si="54">(J8+J6)/2</f>
        <v>19.02556053811659</v>
      </c>
      <c r="L7" s="30">
        <f t="shared" ref="L7:Z22" si="55">K7+L$4</f>
        <v>20.3</v>
      </c>
      <c r="M7" s="30">
        <f t="shared" si="54"/>
        <v>17.250448430493275</v>
      </c>
      <c r="N7" s="30">
        <f t="shared" si="55"/>
        <v>18.889013452914799</v>
      </c>
      <c r="O7" s="30">
        <f t="shared" si="54"/>
        <v>18.1152466367713</v>
      </c>
      <c r="P7" s="30">
        <f t="shared" si="55"/>
        <v>19.753811659192824</v>
      </c>
      <c r="Q7" s="30">
        <f t="shared" si="54"/>
        <v>17.563368834080716</v>
      </c>
      <c r="R7" s="30">
        <f t="shared" si="55"/>
        <v>19.019871076233184</v>
      </c>
      <c r="S7" s="30">
        <f t="shared" si="54"/>
        <v>18.166451793721972</v>
      </c>
      <c r="T7" s="30">
        <f t="shared" si="55"/>
        <v>18.894702914798202</v>
      </c>
      <c r="U7" s="30">
        <f t="shared" si="54"/>
        <v>17.116746076233181</v>
      </c>
      <c r="V7" s="30">
        <f t="shared" si="55"/>
        <v>18.027059977578471</v>
      </c>
      <c r="W7" s="30">
        <f t="shared" si="54"/>
        <v>17.3414798206278</v>
      </c>
      <c r="X7" s="30">
        <f t="shared" si="55"/>
        <v>18.069730941704034</v>
      </c>
      <c r="Y7" s="30">
        <f t="shared" si="54"/>
        <v>16.64096482623318</v>
      </c>
      <c r="Z7" s="30">
        <f t="shared" si="55"/>
        <v>17.0050903867713</v>
      </c>
      <c r="AA7" s="30">
        <f t="shared" si="18"/>
        <v>16.384939041479825</v>
      </c>
      <c r="AB7" s="30">
        <f t="shared" si="19"/>
        <v>17.022158772421527</v>
      </c>
      <c r="AC7" s="30">
        <f t="shared" si="18"/>
        <v>15.921603489349774</v>
      </c>
      <c r="AD7" s="30">
        <f t="shared" si="19"/>
        <v>16.74088600056054</v>
      </c>
      <c r="AE7" s="30">
        <f t="shared" si="18"/>
        <v>16.174428951793729</v>
      </c>
      <c r="AF7" s="30">
        <f t="shared" si="19"/>
        <v>17.448868413677133</v>
      </c>
      <c r="AG7" s="30">
        <f t="shared" si="18"/>
        <v>16.422431706313056</v>
      </c>
      <c r="AH7" s="30">
        <f t="shared" si="19"/>
        <v>17.332745607658346</v>
      </c>
      <c r="AI7" s="30">
        <f t="shared" si="18"/>
        <v>16.63414191686519</v>
      </c>
      <c r="AJ7" s="30">
        <f t="shared" si="19"/>
        <v>17.180330257672374</v>
      </c>
      <c r="AK7" s="30">
        <f t="shared" si="18"/>
        <v>16.197153462636635</v>
      </c>
      <c r="AL7" s="30">
        <f t="shared" si="19"/>
        <v>16.561279023174748</v>
      </c>
      <c r="AM7" s="30">
        <f t="shared" si="18"/>
        <v>15.980320513943388</v>
      </c>
      <c r="AN7" s="30">
        <f t="shared" si="19"/>
        <v>16.526508854750567</v>
      </c>
      <c r="AO7" s="30">
        <f t="shared" si="18"/>
        <v>15.71928589140888</v>
      </c>
      <c r="AP7" s="30">
        <f t="shared" si="19"/>
        <v>15.90134867167793</v>
      </c>
      <c r="AQ7" s="30">
        <f t="shared" si="34"/>
        <v>15.370528545294103</v>
      </c>
      <c r="AR7" s="30">
        <f t="shared" si="35"/>
        <v>15.552591325563167</v>
      </c>
      <c r="AS7" s="30">
        <f t="shared" si="34"/>
        <v>14.890723278918076</v>
      </c>
      <c r="AT7" s="30">
        <f t="shared" si="35"/>
        <v>15.436911619725253</v>
      </c>
      <c r="AU7" s="30">
        <f t="shared" si="34"/>
        <v>15.024365904940623</v>
      </c>
      <c r="AV7" s="30">
        <f t="shared" si="35"/>
        <v>15.297460075344205</v>
      </c>
      <c r="AW7" s="30">
        <f t="shared" si="34"/>
        <v>14.634766077460725</v>
      </c>
      <c r="AX7" s="30">
        <f t="shared" si="35"/>
        <v>14.907860247864313</v>
      </c>
      <c r="AY7" s="30">
        <f t="shared" si="34"/>
        <v>14.534682734023296</v>
      </c>
      <c r="AZ7" s="30">
        <f t="shared" si="35"/>
        <v>14.716745514292352</v>
      </c>
      <c r="BA7" s="30">
        <f t="shared" si="34"/>
        <v>14.140368976935138</v>
      </c>
      <c r="BB7" s="30">
        <f t="shared" si="35"/>
        <v>14.322431757204201</v>
      </c>
      <c r="BC7" s="30">
        <f t="shared" si="34"/>
        <v>13.999875921411903</v>
      </c>
      <c r="BD7" s="30">
        <f t="shared" si="35"/>
        <v>14.181938701680959</v>
      </c>
      <c r="BE7" s="30">
        <f t="shared" si="34"/>
        <v>13.681759833968806</v>
      </c>
      <c r="BF7" s="30">
        <f t="shared" si="35"/>
        <v>13.772791224103331</v>
      </c>
      <c r="BG7" s="30">
        <f t="shared" si="50"/>
        <v>13.481699755052812</v>
      </c>
      <c r="BH7" s="30">
        <f t="shared" si="51"/>
        <v>13.572731145187344</v>
      </c>
    </row>
    <row r="8" spans="2:60" x14ac:dyDescent="0.3">
      <c r="B8" s="23"/>
      <c r="C8" s="27"/>
      <c r="D8" s="25">
        <f t="shared" si="52"/>
        <v>7.3999999999999995</v>
      </c>
      <c r="E8" s="28">
        <v>0</v>
      </c>
      <c r="F8" s="29">
        <f t="shared" si="1"/>
        <v>16.385650224215247</v>
      </c>
      <c r="G8" s="5">
        <f t="shared" si="53"/>
        <v>16.385650224215247</v>
      </c>
      <c r="H8" s="29">
        <f t="shared" ref="H8:H25" si="56">G8+H$3</f>
        <v>20.026905829596412</v>
      </c>
      <c r="I8" s="28">
        <f>(H9+H7)/2</f>
        <v>20.026905829596412</v>
      </c>
      <c r="J8" s="30">
        <f>I8+$J$4</f>
        <v>24.032286995515694</v>
      </c>
      <c r="K8" s="30">
        <f t="shared" si="54"/>
        <v>21.984080717488787</v>
      </c>
      <c r="L8" s="30">
        <f t="shared" si="55"/>
        <v>23.258520179372198</v>
      </c>
      <c r="M8" s="30">
        <f t="shared" si="54"/>
        <v>22.803363228699553</v>
      </c>
      <c r="N8" s="30">
        <f t="shared" si="55"/>
        <v>24.441928251121077</v>
      </c>
      <c r="O8" s="30">
        <f t="shared" si="54"/>
        <v>22.405100896860986</v>
      </c>
      <c r="P8" s="30">
        <f t="shared" si="55"/>
        <v>24.04366591928251</v>
      </c>
      <c r="Q8" s="30">
        <f t="shared" si="54"/>
        <v>23.542993273542599</v>
      </c>
      <c r="R8" s="30">
        <f t="shared" si="55"/>
        <v>24.999495515695067</v>
      </c>
      <c r="S8" s="30">
        <f t="shared" si="54"/>
        <v>23.267054372197308</v>
      </c>
      <c r="T8" s="30">
        <f t="shared" si="55"/>
        <v>23.995305493273538</v>
      </c>
      <c r="U8" s="30">
        <f t="shared" si="54"/>
        <v>23.414980381165918</v>
      </c>
      <c r="V8" s="30">
        <f t="shared" si="55"/>
        <v>24.325294282511209</v>
      </c>
      <c r="W8" s="30">
        <f t="shared" si="54"/>
        <v>22.811897421524659</v>
      </c>
      <c r="X8" s="30">
        <f t="shared" si="55"/>
        <v>23.540148542600893</v>
      </c>
      <c r="Y8" s="30">
        <f t="shared" si="54"/>
        <v>23.006761491031391</v>
      </c>
      <c r="Z8" s="30">
        <f t="shared" si="55"/>
        <v>23.370887051569511</v>
      </c>
      <c r="AA8" s="30">
        <f t="shared" si="50"/>
        <v>22.066222323430495</v>
      </c>
      <c r="AB8" s="30">
        <f t="shared" si="51"/>
        <v>22.703442054372196</v>
      </c>
      <c r="AC8" s="30">
        <f t="shared" si="50"/>
        <v>22.19921349495516</v>
      </c>
      <c r="AD8" s="30">
        <f t="shared" si="51"/>
        <v>23.018496006165925</v>
      </c>
      <c r="AE8" s="30">
        <f t="shared" si="50"/>
        <v>21.925541488579036</v>
      </c>
      <c r="AF8" s="30">
        <f t="shared" si="51"/>
        <v>23.199980950462439</v>
      </c>
      <c r="AG8" s="30">
        <f t="shared" si="50"/>
        <v>22.723221824201236</v>
      </c>
      <c r="AH8" s="30">
        <f t="shared" si="51"/>
        <v>23.633535725546526</v>
      </c>
      <c r="AI8" s="30">
        <f t="shared" si="50"/>
        <v>22.635557439829732</v>
      </c>
      <c r="AJ8" s="30">
        <f t="shared" si="51"/>
        <v>23.181745780636916</v>
      </c>
      <c r="AK8" s="30">
        <f t="shared" si="50"/>
        <v>22.642224777974363</v>
      </c>
      <c r="AL8" s="30">
        <f t="shared" si="51"/>
        <v>23.006350338512476</v>
      </c>
      <c r="AM8" s="30">
        <f t="shared" si="50"/>
        <v>22.065555589616032</v>
      </c>
      <c r="AN8" s="30">
        <f t="shared" si="51"/>
        <v>22.611743930423209</v>
      </c>
      <c r="AO8" s="30">
        <f t="shared" si="50"/>
        <v>22.113677102674824</v>
      </c>
      <c r="AP8" s="30">
        <f t="shared" si="51"/>
        <v>22.295739882943874</v>
      </c>
      <c r="AQ8" s="30">
        <f t="shared" si="50"/>
        <v>21.466646661459059</v>
      </c>
      <c r="AR8" s="30">
        <f t="shared" si="51"/>
        <v>21.648709441728123</v>
      </c>
      <c r="AS8" s="30">
        <f t="shared" si="50"/>
        <v>21.180059465485307</v>
      </c>
      <c r="AT8" s="30">
        <f t="shared" si="51"/>
        <v>21.726247806292484</v>
      </c>
      <c r="AU8" s="30">
        <f t="shared" si="50"/>
        <v>21.004888004251661</v>
      </c>
      <c r="AV8" s="30">
        <f t="shared" si="51"/>
        <v>21.277982174655243</v>
      </c>
      <c r="AW8" s="30">
        <f t="shared" si="50"/>
        <v>20.874447089567312</v>
      </c>
      <c r="AX8" s="30">
        <f t="shared" si="51"/>
        <v>21.1475412599709</v>
      </c>
      <c r="AY8" s="30">
        <f t="shared" si="50"/>
        <v>20.462682269400005</v>
      </c>
      <c r="AZ8" s="30">
        <f t="shared" si="51"/>
        <v>20.644745049669062</v>
      </c>
      <c r="BA8" s="30">
        <f t="shared" si="50"/>
        <v>20.277253525139503</v>
      </c>
      <c r="BB8" s="30">
        <f t="shared" si="51"/>
        <v>20.459316305408567</v>
      </c>
      <c r="BC8" s="30">
        <f t="shared" si="50"/>
        <v>19.8381782287974</v>
      </c>
      <c r="BD8" s="30">
        <f t="shared" si="51"/>
        <v>20.020241009066456</v>
      </c>
      <c r="BE8" s="30">
        <f t="shared" si="50"/>
        <v>19.690367378996093</v>
      </c>
      <c r="BF8" s="30">
        <f t="shared" si="51"/>
        <v>19.781398769130618</v>
      </c>
      <c r="BG8" s="30">
        <f t="shared" si="50"/>
        <v>19.222422193785945</v>
      </c>
      <c r="BH8" s="30">
        <f t="shared" si="51"/>
        <v>19.313453583920477</v>
      </c>
    </row>
    <row r="9" spans="2:60" x14ac:dyDescent="0.3">
      <c r="B9" s="23"/>
      <c r="C9" s="27"/>
      <c r="D9" s="25">
        <f t="shared" si="52"/>
        <v>7.1999999999999993</v>
      </c>
      <c r="E9" s="28">
        <v>0</v>
      </c>
      <c r="F9" s="29">
        <f t="shared" si="1"/>
        <v>16.385650224215247</v>
      </c>
      <c r="G9" s="5">
        <f t="shared" si="53"/>
        <v>16.385650224215247</v>
      </c>
      <c r="H9" s="29">
        <f t="shared" si="56"/>
        <v>20.026905829596412</v>
      </c>
      <c r="I9" s="28">
        <f t="shared" si="2"/>
        <v>20.026905829596412</v>
      </c>
      <c r="J9" s="30">
        <f t="shared" ref="J9:J25" si="57">I9+$J$4</f>
        <v>24.032286995515694</v>
      </c>
      <c r="K9" s="30">
        <f>(J10+J8)/2</f>
        <v>24.032286995515694</v>
      </c>
      <c r="L9" s="30">
        <f t="shared" si="55"/>
        <v>25.306726457399105</v>
      </c>
      <c r="M9" s="30">
        <f t="shared" si="54"/>
        <v>24.282623318385653</v>
      </c>
      <c r="N9" s="30">
        <f t="shared" si="55"/>
        <v>25.921188340807177</v>
      </c>
      <c r="O9" s="30">
        <f t="shared" si="54"/>
        <v>25.693609865470854</v>
      </c>
      <c r="P9" s="30">
        <f t="shared" si="55"/>
        <v>27.332174887892378</v>
      </c>
      <c r="Q9" s="30">
        <f t="shared" si="54"/>
        <v>26.057735426008968</v>
      </c>
      <c r="R9" s="30">
        <f t="shared" si="55"/>
        <v>27.514237668161435</v>
      </c>
      <c r="S9" s="30">
        <f t="shared" si="54"/>
        <v>27.207006726457401</v>
      </c>
      <c r="T9" s="30">
        <f t="shared" si="55"/>
        <v>27.935257847533631</v>
      </c>
      <c r="U9" s="30">
        <f t="shared" si="54"/>
        <v>26.686420964125556</v>
      </c>
      <c r="V9" s="30">
        <f t="shared" si="55"/>
        <v>27.596734865470847</v>
      </c>
      <c r="W9" s="30">
        <f t="shared" si="54"/>
        <v>27.21554091928251</v>
      </c>
      <c r="X9" s="30">
        <f t="shared" si="55"/>
        <v>27.943792040358744</v>
      </c>
      <c r="Y9" s="30">
        <f t="shared" si="54"/>
        <v>26.763228699551565</v>
      </c>
      <c r="Z9" s="30">
        <f t="shared" si="55"/>
        <v>27.127354260089685</v>
      </c>
      <c r="AA9" s="30">
        <f t="shared" si="50"/>
        <v>26.739048486547091</v>
      </c>
      <c r="AB9" s="30">
        <f t="shared" si="51"/>
        <v>27.376268217488793</v>
      </c>
      <c r="AC9" s="30">
        <f t="shared" si="50"/>
        <v>26.29091446538677</v>
      </c>
      <c r="AD9" s="30">
        <f t="shared" si="51"/>
        <v>27.110196976597535</v>
      </c>
      <c r="AE9" s="30">
        <f t="shared" si="50"/>
        <v>26.723135772841935</v>
      </c>
      <c r="AF9" s="30">
        <f t="shared" si="51"/>
        <v>27.997575234725339</v>
      </c>
      <c r="AG9" s="30">
        <f t="shared" si="50"/>
        <v>27.028055370655824</v>
      </c>
      <c r="AH9" s="30">
        <f t="shared" si="51"/>
        <v>27.938369272001115</v>
      </c>
      <c r="AI9" s="30">
        <f t="shared" si="50"/>
        <v>27.557930957469171</v>
      </c>
      <c r="AJ9" s="30">
        <f t="shared" si="51"/>
        <v>28.104119298276355</v>
      </c>
      <c r="AK9" s="30">
        <f t="shared" si="50"/>
        <v>27.205706595519203</v>
      </c>
      <c r="AL9" s="30">
        <f t="shared" si="51"/>
        <v>27.569832156057316</v>
      </c>
      <c r="AM9" s="30">
        <f t="shared" si="50"/>
        <v>27.154657009791904</v>
      </c>
      <c r="AN9" s="30">
        <f t="shared" si="51"/>
        <v>27.700845350599081</v>
      </c>
      <c r="AO9" s="30">
        <f t="shared" si="50"/>
        <v>26.849881870971135</v>
      </c>
      <c r="AP9" s="30">
        <f t="shared" si="51"/>
        <v>27.031944651240185</v>
      </c>
      <c r="AQ9" s="30">
        <f t="shared" si="50"/>
        <v>26.62546482513838</v>
      </c>
      <c r="AR9" s="30">
        <f t="shared" si="51"/>
        <v>26.807527605407444</v>
      </c>
      <c r="AS9" s="30">
        <f t="shared" si="50"/>
        <v>26.026676047970895</v>
      </c>
      <c r="AT9" s="30">
        <f t="shared" si="51"/>
        <v>26.572864388778072</v>
      </c>
      <c r="AU9" s="30">
        <f t="shared" si="50"/>
        <v>26.178339933386837</v>
      </c>
      <c r="AV9" s="30">
        <f t="shared" si="51"/>
        <v>26.451434103790419</v>
      </c>
      <c r="AW9" s="30">
        <f t="shared" si="50"/>
        <v>25.744410120532113</v>
      </c>
      <c r="AX9" s="30">
        <f t="shared" si="51"/>
        <v>26.017504290935701</v>
      </c>
      <c r="AY9" s="30">
        <f t="shared" si="50"/>
        <v>25.655698755717598</v>
      </c>
      <c r="AZ9" s="30">
        <f t="shared" si="51"/>
        <v>25.837761535986655</v>
      </c>
      <c r="BA9" s="30">
        <f t="shared" si="50"/>
        <v>25.171861920121533</v>
      </c>
      <c r="BB9" s="30">
        <f t="shared" si="51"/>
        <v>25.353924700390596</v>
      </c>
      <c r="BC9" s="30">
        <f t="shared" si="50"/>
        <v>25.016733276042174</v>
      </c>
      <c r="BD9" s="30">
        <f t="shared" si="51"/>
        <v>25.198796056311231</v>
      </c>
      <c r="BE9" s="30">
        <f t="shared" si="50"/>
        <v>24.581021773334037</v>
      </c>
      <c r="BF9" s="30">
        <f t="shared" si="51"/>
        <v>24.672053163468561</v>
      </c>
      <c r="BG9" s="30">
        <f t="shared" si="50"/>
        <v>24.360284915847092</v>
      </c>
      <c r="BH9" s="30">
        <f t="shared" si="51"/>
        <v>24.451316305981624</v>
      </c>
    </row>
    <row r="10" spans="2:60" x14ac:dyDescent="0.3">
      <c r="B10" s="23"/>
      <c r="C10" s="27"/>
      <c r="D10" s="25">
        <f t="shared" si="52"/>
        <v>6.9999999999999991</v>
      </c>
      <c r="E10" s="28">
        <v>0</v>
      </c>
      <c r="F10" s="29">
        <f t="shared" si="1"/>
        <v>16.385650224215247</v>
      </c>
      <c r="G10" s="5">
        <f t="shared" si="53"/>
        <v>16.385650224215247</v>
      </c>
      <c r="H10" s="29">
        <f t="shared" si="56"/>
        <v>20.026905829596412</v>
      </c>
      <c r="I10" s="28">
        <f t="shared" si="2"/>
        <v>20.026905829596412</v>
      </c>
      <c r="J10" s="30">
        <f t="shared" si="57"/>
        <v>24.032286995515694</v>
      </c>
      <c r="K10" s="30">
        <f t="shared" si="54"/>
        <v>24.032286995515694</v>
      </c>
      <c r="L10" s="30">
        <f t="shared" si="55"/>
        <v>25.306726457399105</v>
      </c>
      <c r="M10" s="30">
        <f t="shared" si="54"/>
        <v>25.306726457399105</v>
      </c>
      <c r="N10" s="30">
        <f t="shared" si="55"/>
        <v>26.945291479820629</v>
      </c>
      <c r="O10" s="30">
        <f t="shared" si="54"/>
        <v>26.433239910313901</v>
      </c>
      <c r="P10" s="30">
        <f t="shared" si="55"/>
        <v>28.071804932735425</v>
      </c>
      <c r="Q10" s="30">
        <f t="shared" si="54"/>
        <v>27.958015695067267</v>
      </c>
      <c r="R10" s="30">
        <f t="shared" si="55"/>
        <v>29.414517937219735</v>
      </c>
      <c r="S10" s="30">
        <f t="shared" si="54"/>
        <v>28.649285313901345</v>
      </c>
      <c r="T10" s="30">
        <f t="shared" si="55"/>
        <v>29.377536434977575</v>
      </c>
      <c r="U10" s="30">
        <f t="shared" si="54"/>
        <v>29.195473654708518</v>
      </c>
      <c r="V10" s="30">
        <f t="shared" si="55"/>
        <v>30.105787556053809</v>
      </c>
      <c r="W10" s="30">
        <f t="shared" si="54"/>
        <v>29.258057735426004</v>
      </c>
      <c r="X10" s="30">
        <f t="shared" si="55"/>
        <v>29.986308856502237</v>
      </c>
      <c r="Y10" s="30">
        <f t="shared" si="54"/>
        <v>29.743084360986547</v>
      </c>
      <c r="Z10" s="30">
        <f t="shared" si="55"/>
        <v>30.107209921524667</v>
      </c>
      <c r="AA10" s="30">
        <f t="shared" si="50"/>
        <v>29.241167145459642</v>
      </c>
      <c r="AB10" s="30">
        <f t="shared" si="51"/>
        <v>29.878386876401343</v>
      </c>
      <c r="AC10" s="30">
        <f t="shared" si="50"/>
        <v>29.608493028307176</v>
      </c>
      <c r="AD10" s="30">
        <f t="shared" si="51"/>
        <v>30.427775539517942</v>
      </c>
      <c r="AE10" s="30">
        <f t="shared" si="50"/>
        <v>29.581690328965806</v>
      </c>
      <c r="AF10" s="30">
        <f t="shared" si="51"/>
        <v>30.856129790849209</v>
      </c>
      <c r="AG10" s="30">
        <f t="shared" si="50"/>
        <v>30.572012288046526</v>
      </c>
      <c r="AH10" s="30">
        <f t="shared" si="51"/>
        <v>31.482326189391816</v>
      </c>
      <c r="AI10" s="30">
        <f t="shared" si="50"/>
        <v>30.683479069594306</v>
      </c>
      <c r="AJ10" s="30">
        <f t="shared" si="51"/>
        <v>31.22966741040149</v>
      </c>
      <c r="AK10" s="30">
        <f t="shared" si="50"/>
        <v>30.938838120533219</v>
      </c>
      <c r="AL10" s="30">
        <f t="shared" si="51"/>
        <v>31.302963681071333</v>
      </c>
      <c r="AM10" s="30">
        <f t="shared" si="50"/>
        <v>30.541831470711884</v>
      </c>
      <c r="AN10" s="30">
        <f t="shared" si="51"/>
        <v>31.088019811519061</v>
      </c>
      <c r="AO10" s="30">
        <f t="shared" si="50"/>
        <v>30.77312698706384</v>
      </c>
      <c r="AP10" s="30">
        <f t="shared" si="51"/>
        <v>30.95518976733289</v>
      </c>
      <c r="AQ10" s="30">
        <f t="shared" si="50"/>
        <v>30.222579873944603</v>
      </c>
      <c r="AR10" s="30">
        <f t="shared" si="51"/>
        <v>30.404642654213667</v>
      </c>
      <c r="AS10" s="30">
        <f t="shared" si="50"/>
        <v>30.084243719674014</v>
      </c>
      <c r="AT10" s="30">
        <f t="shared" si="51"/>
        <v>30.630432060481191</v>
      </c>
      <c r="AU10" s="30">
        <f t="shared" si="50"/>
        <v>29.937743896005401</v>
      </c>
      <c r="AV10" s="30">
        <f t="shared" si="51"/>
        <v>30.210838066408982</v>
      </c>
      <c r="AW10" s="30">
        <f t="shared" si="50"/>
        <v>29.890762081060707</v>
      </c>
      <c r="AX10" s="30">
        <f t="shared" si="51"/>
        <v>30.163856251464296</v>
      </c>
      <c r="AY10" s="30">
        <f t="shared" si="50"/>
        <v>29.516916010304946</v>
      </c>
      <c r="AZ10" s="30">
        <f t="shared" si="51"/>
        <v>29.698978790574003</v>
      </c>
      <c r="BA10" s="30">
        <f t="shared" si="50"/>
        <v>29.392087466406714</v>
      </c>
      <c r="BB10" s="30">
        <f t="shared" si="51"/>
        <v>29.574150246675778</v>
      </c>
      <c r="BC10" s="30">
        <f t="shared" si="50"/>
        <v>28.959739757332564</v>
      </c>
      <c r="BD10" s="30">
        <f t="shared" si="51"/>
        <v>29.14180253760162</v>
      </c>
      <c r="BE10" s="30">
        <f t="shared" si="50"/>
        <v>28.848139672429042</v>
      </c>
      <c r="BF10" s="30">
        <f t="shared" si="51"/>
        <v>28.939171062563567</v>
      </c>
      <c r="BG10" s="30">
        <f t="shared" si="50"/>
        <v>28.358986011762248</v>
      </c>
      <c r="BH10" s="30">
        <f t="shared" si="51"/>
        <v>28.45001740189678</v>
      </c>
    </row>
    <row r="11" spans="2:60" x14ac:dyDescent="0.3">
      <c r="B11" s="23"/>
      <c r="C11" s="27"/>
      <c r="D11" s="25">
        <f t="shared" si="52"/>
        <v>6.7999999999999989</v>
      </c>
      <c r="E11" s="28">
        <v>0</v>
      </c>
      <c r="F11" s="29">
        <f t="shared" si="1"/>
        <v>16.385650224215247</v>
      </c>
      <c r="G11" s="5">
        <f t="shared" si="53"/>
        <v>16.385650224215247</v>
      </c>
      <c r="H11" s="29">
        <f t="shared" si="56"/>
        <v>20.026905829596412</v>
      </c>
      <c r="I11" s="28">
        <f t="shared" si="2"/>
        <v>20.026905829596412</v>
      </c>
      <c r="J11" s="30">
        <f t="shared" si="57"/>
        <v>24.032286995515694</v>
      </c>
      <c r="K11" s="30">
        <f t="shared" si="54"/>
        <v>24.032286995515694</v>
      </c>
      <c r="L11" s="30">
        <f t="shared" si="55"/>
        <v>25.306726457399105</v>
      </c>
      <c r="M11" s="30">
        <f t="shared" si="54"/>
        <v>25.306726457399105</v>
      </c>
      <c r="N11" s="30">
        <f t="shared" si="55"/>
        <v>26.945291479820629</v>
      </c>
      <c r="O11" s="30">
        <f t="shared" si="54"/>
        <v>26.945291479820629</v>
      </c>
      <c r="P11" s="30">
        <f t="shared" si="55"/>
        <v>28.583856502242153</v>
      </c>
      <c r="Q11" s="30">
        <f t="shared" si="54"/>
        <v>28.327830717488787</v>
      </c>
      <c r="R11" s="30">
        <f t="shared" si="55"/>
        <v>29.784332959641254</v>
      </c>
      <c r="S11" s="30">
        <f t="shared" si="54"/>
        <v>29.727438340807176</v>
      </c>
      <c r="T11" s="30">
        <f t="shared" si="55"/>
        <v>30.455689461883406</v>
      </c>
      <c r="U11" s="30">
        <f t="shared" si="54"/>
        <v>30.00906670403587</v>
      </c>
      <c r="V11" s="30">
        <f t="shared" si="55"/>
        <v>30.919380605381161</v>
      </c>
      <c r="W11" s="30">
        <f t="shared" si="54"/>
        <v>30.814125560538116</v>
      </c>
      <c r="X11" s="30">
        <f t="shared" si="55"/>
        <v>31.54237668161435</v>
      </c>
      <c r="Y11" s="30">
        <f t="shared" si="54"/>
        <v>30.990854470291474</v>
      </c>
      <c r="Z11" s="30">
        <f t="shared" si="55"/>
        <v>31.354980030829594</v>
      </c>
      <c r="AA11" s="30">
        <f t="shared" si="50"/>
        <v>31.203498108183858</v>
      </c>
      <c r="AB11" s="30">
        <f t="shared" si="51"/>
        <v>31.84071783912556</v>
      </c>
      <c r="AC11" s="30">
        <f t="shared" si="50"/>
        <v>31.233901170123314</v>
      </c>
      <c r="AD11" s="30">
        <f t="shared" si="51"/>
        <v>32.053183681334076</v>
      </c>
      <c r="AE11" s="30">
        <f t="shared" si="50"/>
        <v>31.87200987948431</v>
      </c>
      <c r="AF11" s="30">
        <f t="shared" si="51"/>
        <v>33.146449341367713</v>
      </c>
      <c r="AG11" s="30">
        <f t="shared" si="50"/>
        <v>32.518274965842203</v>
      </c>
      <c r="AH11" s="30">
        <f t="shared" si="51"/>
        <v>33.428588867187493</v>
      </c>
      <c r="AI11" s="30">
        <f t="shared" si="50"/>
        <v>33.227368601982903</v>
      </c>
      <c r="AJ11" s="30">
        <f t="shared" si="51"/>
        <v>33.773556942790087</v>
      </c>
      <c r="AK11" s="30">
        <f t="shared" si="50"/>
        <v>33.149705224828338</v>
      </c>
      <c r="AL11" s="30">
        <f t="shared" si="51"/>
        <v>33.513830785366451</v>
      </c>
      <c r="AM11" s="30">
        <f t="shared" si="50"/>
        <v>33.299220282721421</v>
      </c>
      <c r="AN11" s="30">
        <f t="shared" si="51"/>
        <v>33.845408623528598</v>
      </c>
      <c r="AO11" s="30">
        <f t="shared" si="50"/>
        <v>33.231152316379976</v>
      </c>
      <c r="AP11" s="30">
        <f t="shared" si="51"/>
        <v>33.413215096649026</v>
      </c>
      <c r="AQ11" s="30">
        <f t="shared" si="50"/>
        <v>33.17889705367152</v>
      </c>
      <c r="AR11" s="30">
        <f t="shared" si="51"/>
        <v>33.360959833940584</v>
      </c>
      <c r="AS11" s="30">
        <f t="shared" si="50"/>
        <v>32.756435062425552</v>
      </c>
      <c r="AT11" s="30">
        <f t="shared" si="51"/>
        <v>33.30262340323273</v>
      </c>
      <c r="AU11" s="30">
        <f t="shared" si="50"/>
        <v>33.056995887927414</v>
      </c>
      <c r="AV11" s="30">
        <f t="shared" si="51"/>
        <v>33.330090058330995</v>
      </c>
      <c r="AW11" s="30">
        <f t="shared" si="50"/>
        <v>32.743233559270607</v>
      </c>
      <c r="AX11" s="30">
        <f t="shared" si="51"/>
        <v>33.016327729674195</v>
      </c>
      <c r="AY11" s="30">
        <f t="shared" si="50"/>
        <v>32.764350616557714</v>
      </c>
      <c r="AZ11" s="30">
        <f t="shared" si="51"/>
        <v>32.94641339682677</v>
      </c>
      <c r="BA11" s="30">
        <f t="shared" si="50"/>
        <v>32.383492034005471</v>
      </c>
      <c r="BB11" s="30">
        <f t="shared" si="51"/>
        <v>32.565554814274535</v>
      </c>
      <c r="BC11" s="30">
        <f t="shared" si="50"/>
        <v>32.315420508277796</v>
      </c>
      <c r="BD11" s="30">
        <f t="shared" si="51"/>
        <v>32.497483288546853</v>
      </c>
      <c r="BE11" s="30">
        <f t="shared" si="50"/>
        <v>31.954887469921406</v>
      </c>
      <c r="BF11" s="30">
        <f t="shared" si="51"/>
        <v>32.045918860055934</v>
      </c>
      <c r="BG11" s="30">
        <f t="shared" si="50"/>
        <v>31.800266244566494</v>
      </c>
      <c r="BH11" s="30">
        <f t="shared" si="51"/>
        <v>31.891297634701026</v>
      </c>
    </row>
    <row r="12" spans="2:60" x14ac:dyDescent="0.3">
      <c r="B12" s="23"/>
      <c r="C12" s="27"/>
      <c r="D12" s="25">
        <f t="shared" si="52"/>
        <v>6.5999999999999988</v>
      </c>
      <c r="E12" s="28">
        <v>0</v>
      </c>
      <c r="F12" s="29">
        <f t="shared" si="1"/>
        <v>16.385650224215247</v>
      </c>
      <c r="G12" s="5">
        <f t="shared" si="53"/>
        <v>16.385650224215247</v>
      </c>
      <c r="H12" s="29">
        <f t="shared" si="56"/>
        <v>20.026905829596412</v>
      </c>
      <c r="I12" s="28">
        <f t="shared" si="2"/>
        <v>20.026905829596412</v>
      </c>
      <c r="J12" s="30">
        <f t="shared" si="57"/>
        <v>24.032286995515694</v>
      </c>
      <c r="K12" s="30">
        <f t="shared" si="54"/>
        <v>24.032286995515694</v>
      </c>
      <c r="L12" s="30">
        <f t="shared" si="55"/>
        <v>25.306726457399105</v>
      </c>
      <c r="M12" s="30">
        <f t="shared" si="54"/>
        <v>25.306726457399105</v>
      </c>
      <c r="N12" s="30">
        <f t="shared" si="55"/>
        <v>26.945291479820629</v>
      </c>
      <c r="O12" s="30">
        <f t="shared" si="54"/>
        <v>26.945291479820629</v>
      </c>
      <c r="P12" s="30">
        <f t="shared" si="55"/>
        <v>28.583856502242153</v>
      </c>
      <c r="Q12" s="30">
        <f t="shared" si="54"/>
        <v>28.583856502242153</v>
      </c>
      <c r="R12" s="30">
        <f t="shared" si="55"/>
        <v>30.04035874439462</v>
      </c>
      <c r="S12" s="30">
        <f t="shared" si="54"/>
        <v>29.912345852017935</v>
      </c>
      <c r="T12" s="30">
        <f t="shared" si="55"/>
        <v>30.640596973094166</v>
      </c>
      <c r="U12" s="30">
        <f t="shared" si="54"/>
        <v>30.61214966367713</v>
      </c>
      <c r="V12" s="30">
        <f t="shared" si="55"/>
        <v>31.52246356502242</v>
      </c>
      <c r="W12" s="30">
        <f t="shared" si="54"/>
        <v>31.26714896300448</v>
      </c>
      <c r="X12" s="30">
        <f t="shared" si="55"/>
        <v>31.995400084080714</v>
      </c>
      <c r="Y12" s="30">
        <f t="shared" si="54"/>
        <v>31.935660734304932</v>
      </c>
      <c r="Z12" s="30">
        <f t="shared" si="55"/>
        <v>32.299786294843052</v>
      </c>
      <c r="AA12" s="30">
        <f t="shared" si="50"/>
        <v>31.952195732903586</v>
      </c>
      <c r="AB12" s="30">
        <f t="shared" si="51"/>
        <v>32.589415463845285</v>
      </c>
      <c r="AC12" s="30">
        <f t="shared" si="50"/>
        <v>32.496961708239908</v>
      </c>
      <c r="AD12" s="30">
        <f t="shared" si="51"/>
        <v>33.316244219450674</v>
      </c>
      <c r="AE12" s="30">
        <f t="shared" si="50"/>
        <v>32.905980678951792</v>
      </c>
      <c r="AF12" s="30">
        <f t="shared" si="51"/>
        <v>34.180420140835196</v>
      </c>
      <c r="AG12" s="30">
        <f t="shared" si="50"/>
        <v>34.062097113228702</v>
      </c>
      <c r="AH12" s="30">
        <f t="shared" si="51"/>
        <v>34.972411014573993</v>
      </c>
      <c r="AI12" s="30">
        <f t="shared" si="50"/>
        <v>34.523554698448002</v>
      </c>
      <c r="AJ12" s="30">
        <f t="shared" si="51"/>
        <v>35.069743039255187</v>
      </c>
      <c r="AK12" s="30">
        <f t="shared" si="50"/>
        <v>34.93135132383339</v>
      </c>
      <c r="AL12" s="30">
        <f t="shared" si="51"/>
        <v>35.295476884371503</v>
      </c>
      <c r="AM12" s="30">
        <f t="shared" si="50"/>
        <v>34.828096480433715</v>
      </c>
      <c r="AN12" s="30">
        <f t="shared" si="51"/>
        <v>35.374284821240892</v>
      </c>
      <c r="AO12" s="30">
        <f t="shared" si="50"/>
        <v>35.220541559741108</v>
      </c>
      <c r="AP12" s="30">
        <f t="shared" si="51"/>
        <v>35.402604340010157</v>
      </c>
      <c r="AQ12" s="30">
        <f t="shared" si="50"/>
        <v>34.926164690368367</v>
      </c>
      <c r="AR12" s="30">
        <f t="shared" si="51"/>
        <v>35.108227470637431</v>
      </c>
      <c r="AS12" s="30">
        <f t="shared" si="50"/>
        <v>34.93737137456646</v>
      </c>
      <c r="AT12" s="30">
        <f t="shared" si="51"/>
        <v>35.483559715373637</v>
      </c>
      <c r="AU12" s="30">
        <f t="shared" si="50"/>
        <v>35.00253488172865</v>
      </c>
      <c r="AV12" s="30">
        <f t="shared" si="51"/>
        <v>35.275629052132231</v>
      </c>
      <c r="AW12" s="30">
        <f t="shared" si="50"/>
        <v>35.091750811247543</v>
      </c>
      <c r="AX12" s="30">
        <f t="shared" si="51"/>
        <v>35.364844981651132</v>
      </c>
      <c r="AY12" s="30">
        <f t="shared" si="50"/>
        <v>34.885942497167882</v>
      </c>
      <c r="AZ12" s="30">
        <f t="shared" si="51"/>
        <v>35.068005277436939</v>
      </c>
      <c r="BA12" s="30">
        <f t="shared" si="50"/>
        <v>34.874627989610744</v>
      </c>
      <c r="BB12" s="30">
        <f t="shared" si="51"/>
        <v>35.056690769879808</v>
      </c>
      <c r="BC12" s="30">
        <f t="shared" si="50"/>
        <v>34.585909621972135</v>
      </c>
      <c r="BD12" s="30">
        <f t="shared" si="51"/>
        <v>34.767972402241192</v>
      </c>
      <c r="BE12" s="30">
        <f t="shared" si="50"/>
        <v>34.570330036434896</v>
      </c>
      <c r="BF12" s="30">
        <f t="shared" si="51"/>
        <v>34.661361426569421</v>
      </c>
      <c r="BG12" s="30">
        <f t="shared" si="50"/>
        <v>34.199539847986031</v>
      </c>
      <c r="BH12" s="30">
        <f t="shared" si="51"/>
        <v>34.290571238120563</v>
      </c>
    </row>
    <row r="13" spans="2:60" x14ac:dyDescent="0.3">
      <c r="B13" s="23"/>
      <c r="C13" s="27"/>
      <c r="D13" s="25">
        <f t="shared" si="52"/>
        <v>6.3999999999999986</v>
      </c>
      <c r="E13" s="28">
        <v>0</v>
      </c>
      <c r="F13" s="29">
        <f t="shared" si="1"/>
        <v>16.385650224215247</v>
      </c>
      <c r="G13" s="5">
        <f t="shared" si="53"/>
        <v>16.385650224215247</v>
      </c>
      <c r="H13" s="29">
        <f t="shared" si="56"/>
        <v>20.026905829596412</v>
      </c>
      <c r="I13" s="28">
        <f t="shared" si="2"/>
        <v>20.026905829596412</v>
      </c>
      <c r="J13" s="30">
        <f t="shared" si="57"/>
        <v>24.032286995515694</v>
      </c>
      <c r="K13" s="30">
        <f t="shared" si="54"/>
        <v>24.032286995515694</v>
      </c>
      <c r="L13" s="30">
        <f>K13+L$4</f>
        <v>25.306726457399105</v>
      </c>
      <c r="M13" s="30">
        <f t="shared" si="54"/>
        <v>25.306726457399105</v>
      </c>
      <c r="N13" s="30">
        <f t="shared" si="55"/>
        <v>26.945291479820629</v>
      </c>
      <c r="O13" s="30">
        <f t="shared" si="54"/>
        <v>26.945291479820629</v>
      </c>
      <c r="P13" s="30">
        <f t="shared" si="55"/>
        <v>28.583856502242153</v>
      </c>
      <c r="Q13" s="30">
        <f t="shared" si="54"/>
        <v>28.583856502242153</v>
      </c>
      <c r="R13" s="30">
        <f t="shared" si="55"/>
        <v>30.04035874439462</v>
      </c>
      <c r="S13" s="30">
        <f t="shared" si="54"/>
        <v>30.04035874439462</v>
      </c>
      <c r="T13" s="30">
        <f t="shared" si="55"/>
        <v>30.76860986547085</v>
      </c>
      <c r="U13" s="30">
        <f t="shared" si="54"/>
        <v>30.704603419282506</v>
      </c>
      <c r="V13" s="30">
        <f t="shared" si="55"/>
        <v>31.614917320627796</v>
      </c>
      <c r="W13" s="30">
        <f t="shared" si="54"/>
        <v>31.60069366591928</v>
      </c>
      <c r="X13" s="30">
        <f t="shared" si="55"/>
        <v>32.328944786995514</v>
      </c>
      <c r="Y13" s="30">
        <f t="shared" si="54"/>
        <v>32.185285874439458</v>
      </c>
      <c r="Z13" s="30">
        <f t="shared" si="55"/>
        <v>32.549411434977578</v>
      </c>
      <c r="AA13" s="30">
        <f t="shared" si="50"/>
        <v>32.515985846412562</v>
      </c>
      <c r="AB13" s="30">
        <f t="shared" si="51"/>
        <v>33.153205577354264</v>
      </c>
      <c r="AC13" s="30">
        <f t="shared" si="50"/>
        <v>32.939495165358736</v>
      </c>
      <c r="AD13" s="30">
        <f t="shared" si="51"/>
        <v>33.758777676569501</v>
      </c>
      <c r="AE13" s="30">
        <f t="shared" si="50"/>
        <v>33.703305423206281</v>
      </c>
      <c r="AF13" s="30">
        <f t="shared" si="51"/>
        <v>34.977744885089685</v>
      </c>
      <c r="AG13" s="30">
        <f t="shared" si="50"/>
        <v>34.708206628363222</v>
      </c>
      <c r="AH13" s="30">
        <f t="shared" si="51"/>
        <v>35.618520529708512</v>
      </c>
      <c r="AI13" s="30">
        <f t="shared" si="50"/>
        <v>35.542957364069508</v>
      </c>
      <c r="AJ13" s="30">
        <f t="shared" si="51"/>
        <v>36.089145704876692</v>
      </c>
      <c r="AK13" s="30">
        <f t="shared" si="50"/>
        <v>35.778236614962864</v>
      </c>
      <c r="AL13" s="30">
        <f t="shared" si="51"/>
        <v>36.142362175500978</v>
      </c>
      <c r="AM13" s="30">
        <f t="shared" si="50"/>
        <v>36.049486155146447</v>
      </c>
      <c r="AN13" s="30">
        <f t="shared" si="51"/>
        <v>36.595674495953624</v>
      </c>
      <c r="AO13" s="30">
        <f t="shared" si="50"/>
        <v>36.257051503818666</v>
      </c>
      <c r="AP13" s="30">
        <f t="shared" si="51"/>
        <v>36.439114284087715</v>
      </c>
      <c r="AQ13" s="30">
        <f t="shared" si="50"/>
        <v>36.331720134923273</v>
      </c>
      <c r="AR13" s="30">
        <f t="shared" si="51"/>
        <v>36.513782915192337</v>
      </c>
      <c r="AS13" s="30">
        <f t="shared" si="50"/>
        <v>36.156258019417386</v>
      </c>
      <c r="AT13" s="30">
        <f t="shared" si="51"/>
        <v>36.702446360224563</v>
      </c>
      <c r="AU13" s="30">
        <f t="shared" si="50"/>
        <v>36.58031739376051</v>
      </c>
      <c r="AV13" s="30">
        <f t="shared" si="51"/>
        <v>36.853411564164091</v>
      </c>
      <c r="AW13" s="30">
        <f t="shared" si="50"/>
        <v>36.48246309425798</v>
      </c>
      <c r="AX13" s="30">
        <f t="shared" si="51"/>
        <v>36.755557264661569</v>
      </c>
      <c r="AY13" s="30">
        <f t="shared" si="50"/>
        <v>36.620779802125661</v>
      </c>
      <c r="AZ13" s="30">
        <f t="shared" si="51"/>
        <v>36.802842582394717</v>
      </c>
      <c r="BA13" s="30">
        <f t="shared" si="50"/>
        <v>36.424201649400672</v>
      </c>
      <c r="BB13" s="30">
        <f t="shared" si="51"/>
        <v>36.606264429669736</v>
      </c>
      <c r="BC13" s="30">
        <f t="shared" si="50"/>
        <v>36.461114004053876</v>
      </c>
      <c r="BD13" s="30">
        <f t="shared" si="51"/>
        <v>36.643176784322932</v>
      </c>
      <c r="BE13" s="30">
        <f t="shared" si="50"/>
        <v>36.262129445781611</v>
      </c>
      <c r="BF13" s="30">
        <f t="shared" si="51"/>
        <v>36.353160835916135</v>
      </c>
      <c r="BG13" s="30">
        <f t="shared" si="50"/>
        <v>36.200926461187706</v>
      </c>
      <c r="BH13" s="30">
        <f t="shared" si="51"/>
        <v>36.291957851322238</v>
      </c>
    </row>
    <row r="14" spans="2:60" x14ac:dyDescent="0.3">
      <c r="B14" s="23"/>
      <c r="C14" s="27"/>
      <c r="D14" s="25">
        <f t="shared" si="52"/>
        <v>6.1999999999999984</v>
      </c>
      <c r="E14" s="28">
        <v>0</v>
      </c>
      <c r="F14" s="29">
        <f t="shared" si="1"/>
        <v>16.385650224215247</v>
      </c>
      <c r="G14" s="5">
        <f t="shared" si="53"/>
        <v>16.385650224215247</v>
      </c>
      <c r="H14" s="29">
        <f t="shared" si="56"/>
        <v>20.026905829596412</v>
      </c>
      <c r="I14" s="28">
        <f t="shared" si="2"/>
        <v>20.026905829596412</v>
      </c>
      <c r="J14" s="30">
        <f t="shared" si="57"/>
        <v>24.032286995515694</v>
      </c>
      <c r="K14" s="30">
        <f t="shared" si="54"/>
        <v>24.032286995515694</v>
      </c>
      <c r="L14" s="30">
        <f t="shared" si="55"/>
        <v>25.306726457399105</v>
      </c>
      <c r="M14" s="30">
        <f t="shared" si="54"/>
        <v>25.306726457399105</v>
      </c>
      <c r="N14" s="30">
        <f t="shared" si="55"/>
        <v>26.945291479820629</v>
      </c>
      <c r="O14" s="30">
        <f t="shared" si="54"/>
        <v>26.945291479820629</v>
      </c>
      <c r="P14" s="30">
        <f t="shared" si="55"/>
        <v>28.583856502242153</v>
      </c>
      <c r="Q14" s="30">
        <f t="shared" si="54"/>
        <v>28.583856502242153</v>
      </c>
      <c r="R14" s="30">
        <f t="shared" si="55"/>
        <v>30.04035874439462</v>
      </c>
      <c r="S14" s="30">
        <f t="shared" si="54"/>
        <v>30.04035874439462</v>
      </c>
      <c r="T14" s="30">
        <f t="shared" si="55"/>
        <v>30.76860986547085</v>
      </c>
      <c r="U14" s="30">
        <f t="shared" si="54"/>
        <v>30.76860986547085</v>
      </c>
      <c r="V14" s="30">
        <f t="shared" si="55"/>
        <v>31.678923766816141</v>
      </c>
      <c r="W14" s="30">
        <f t="shared" si="54"/>
        <v>31.646920543721968</v>
      </c>
      <c r="X14" s="30">
        <f t="shared" si="55"/>
        <v>32.375171664798202</v>
      </c>
      <c r="Y14" s="30">
        <f t="shared" si="54"/>
        <v>32.368059837443944</v>
      </c>
      <c r="Z14" s="30">
        <f t="shared" si="55"/>
        <v>32.732185397982065</v>
      </c>
      <c r="AA14" s="30">
        <f t="shared" si="50"/>
        <v>32.652355135930492</v>
      </c>
      <c r="AB14" s="30">
        <f t="shared" si="51"/>
        <v>33.289574866872194</v>
      </c>
      <c r="AC14" s="30">
        <f t="shared" si="50"/>
        <v>33.271084115751123</v>
      </c>
      <c r="AD14" s="30">
        <f t="shared" si="51"/>
        <v>34.090366626961888</v>
      </c>
      <c r="AE14" s="30">
        <f t="shared" si="50"/>
        <v>33.961553654007844</v>
      </c>
      <c r="AF14" s="30">
        <f t="shared" si="51"/>
        <v>35.235993115891247</v>
      </c>
      <c r="AG14" s="30">
        <f t="shared" si="50"/>
        <v>35.203189812219733</v>
      </c>
      <c r="AH14" s="30">
        <f t="shared" si="51"/>
        <v>36.113503713565024</v>
      </c>
      <c r="AI14" s="30">
        <f t="shared" si="50"/>
        <v>35.940541849863365</v>
      </c>
      <c r="AJ14" s="30">
        <f t="shared" si="51"/>
        <v>36.486730190670549</v>
      </c>
      <c r="AK14" s="30">
        <f t="shared" si="50"/>
        <v>36.439369865383277</v>
      </c>
      <c r="AL14" s="30">
        <f t="shared" si="51"/>
        <v>36.80349542592139</v>
      </c>
      <c r="AM14" s="30">
        <f t="shared" si="50"/>
        <v>36.593629845589263</v>
      </c>
      <c r="AN14" s="30">
        <f t="shared" si="51"/>
        <v>37.13981818639644</v>
      </c>
      <c r="AO14" s="30">
        <f t="shared" si="50"/>
        <v>37.07877314956734</v>
      </c>
      <c r="AP14" s="30">
        <f t="shared" si="51"/>
        <v>37.260835929836389</v>
      </c>
      <c r="AQ14" s="30">
        <f t="shared" si="50"/>
        <v>37.022225787928278</v>
      </c>
      <c r="AR14" s="30">
        <f t="shared" si="51"/>
        <v>37.204288568197342</v>
      </c>
      <c r="AS14" s="30">
        <f t="shared" si="50"/>
        <v>37.130886731340212</v>
      </c>
      <c r="AT14" s="30">
        <f t="shared" si="51"/>
        <v>37.677075072147389</v>
      </c>
      <c r="AU14" s="30">
        <f t="shared" si="50"/>
        <v>37.416202965980148</v>
      </c>
      <c r="AV14" s="30">
        <f t="shared" si="51"/>
        <v>37.689297136383729</v>
      </c>
      <c r="AW14" s="30">
        <f t="shared" si="50"/>
        <v>37.603620452196601</v>
      </c>
      <c r="AX14" s="30">
        <f t="shared" si="51"/>
        <v>37.87671462260019</v>
      </c>
      <c r="AY14" s="30">
        <f t="shared" si="50"/>
        <v>37.598335241095356</v>
      </c>
      <c r="AZ14" s="30">
        <f t="shared" si="51"/>
        <v>37.780398021364412</v>
      </c>
      <c r="BA14" s="30">
        <f t="shared" si="50"/>
        <v>37.68347445795888</v>
      </c>
      <c r="BB14" s="30">
        <f t="shared" si="51"/>
        <v>37.865537238227944</v>
      </c>
      <c r="BC14" s="30">
        <f t="shared" si="50"/>
        <v>37.57422370905298</v>
      </c>
      <c r="BD14" s="30">
        <f t="shared" si="51"/>
        <v>37.756286489322036</v>
      </c>
      <c r="BE14" s="30">
        <f t="shared" si="50"/>
        <v>37.649460105671473</v>
      </c>
      <c r="BF14" s="30">
        <f t="shared" si="51"/>
        <v>37.740491495805998</v>
      </c>
      <c r="BG14" s="30">
        <f t="shared" si="50"/>
        <v>37.440550386036975</v>
      </c>
      <c r="BH14" s="30">
        <f t="shared" si="51"/>
        <v>37.531581776171507</v>
      </c>
    </row>
    <row r="15" spans="2:60" x14ac:dyDescent="0.3">
      <c r="B15" s="23"/>
      <c r="C15" s="27"/>
      <c r="D15" s="25">
        <f t="shared" si="52"/>
        <v>5.9999999999999982</v>
      </c>
      <c r="E15" s="28">
        <v>0</v>
      </c>
      <c r="F15" s="29">
        <f t="shared" si="1"/>
        <v>16.385650224215247</v>
      </c>
      <c r="G15" s="5">
        <f t="shared" si="53"/>
        <v>16.385650224215247</v>
      </c>
      <c r="H15" s="29">
        <f t="shared" si="56"/>
        <v>20.026905829596412</v>
      </c>
      <c r="I15" s="28">
        <f t="shared" si="2"/>
        <v>20.026905829596412</v>
      </c>
      <c r="J15" s="30">
        <f t="shared" si="57"/>
        <v>24.032286995515694</v>
      </c>
      <c r="K15" s="30">
        <f t="shared" si="54"/>
        <v>24.032286995515694</v>
      </c>
      <c r="L15" s="30">
        <f t="shared" si="55"/>
        <v>25.306726457399105</v>
      </c>
      <c r="M15" s="30">
        <f t="shared" si="54"/>
        <v>25.306726457399105</v>
      </c>
      <c r="N15" s="30">
        <f t="shared" si="55"/>
        <v>26.945291479820629</v>
      </c>
      <c r="O15" s="30">
        <f t="shared" si="54"/>
        <v>26.945291479820629</v>
      </c>
      <c r="P15" s="30">
        <f t="shared" si="55"/>
        <v>28.583856502242153</v>
      </c>
      <c r="Q15" s="30">
        <f t="shared" si="54"/>
        <v>28.583856502242153</v>
      </c>
      <c r="R15" s="30">
        <f t="shared" si="55"/>
        <v>30.04035874439462</v>
      </c>
      <c r="S15" s="30">
        <f t="shared" si="54"/>
        <v>30.04035874439462</v>
      </c>
      <c r="T15" s="30">
        <f t="shared" si="55"/>
        <v>30.76860986547085</v>
      </c>
      <c r="U15" s="30">
        <f t="shared" si="54"/>
        <v>30.76860986547085</v>
      </c>
      <c r="V15" s="30">
        <f t="shared" si="55"/>
        <v>31.678923766816141</v>
      </c>
      <c r="W15" s="30">
        <f t="shared" si="54"/>
        <v>31.678923766816141</v>
      </c>
      <c r="X15" s="30">
        <f t="shared" si="55"/>
        <v>32.407174887892374</v>
      </c>
      <c r="Y15" s="30">
        <f t="shared" si="54"/>
        <v>32.391173276345285</v>
      </c>
      <c r="Z15" s="30">
        <f t="shared" si="55"/>
        <v>32.755298836883405</v>
      </c>
      <c r="AA15" s="30">
        <f t="shared" si="50"/>
        <v>32.75174292320628</v>
      </c>
      <c r="AB15" s="30">
        <f t="shared" si="51"/>
        <v>33.388962654147981</v>
      </c>
      <c r="AC15" s="30">
        <f t="shared" si="50"/>
        <v>33.345047120235421</v>
      </c>
      <c r="AD15" s="30">
        <f t="shared" si="51"/>
        <v>34.164329631446186</v>
      </c>
      <c r="AE15" s="30">
        <f t="shared" si="50"/>
        <v>34.154195277466371</v>
      </c>
      <c r="AF15" s="30">
        <f t="shared" si="51"/>
        <v>35.428634739349775</v>
      </c>
      <c r="AG15" s="30">
        <f t="shared" si="50"/>
        <v>35.352249268672921</v>
      </c>
      <c r="AH15" s="30">
        <f t="shared" si="51"/>
        <v>36.262563170018211</v>
      </c>
      <c r="AI15" s="30">
        <f t="shared" si="50"/>
        <v>36.243405685082678</v>
      </c>
      <c r="AJ15" s="30">
        <f t="shared" si="51"/>
        <v>36.789594025889862</v>
      </c>
      <c r="AK15" s="30">
        <f t="shared" si="50"/>
        <v>36.680771955139434</v>
      </c>
      <c r="AL15" s="30">
        <f t="shared" si="51"/>
        <v>37.044897515677548</v>
      </c>
      <c r="AM15" s="30">
        <f t="shared" si="50"/>
        <v>37.015683462373886</v>
      </c>
      <c r="AN15" s="30">
        <f t="shared" si="51"/>
        <v>37.561871803181063</v>
      </c>
      <c r="AO15" s="30">
        <f t="shared" si="50"/>
        <v>37.423274511499791</v>
      </c>
      <c r="AP15" s="30">
        <f t="shared" si="51"/>
        <v>37.605337291768841</v>
      </c>
      <c r="AQ15" s="30">
        <f t="shared" si="50"/>
        <v>37.565927767219023</v>
      </c>
      <c r="AR15" s="30">
        <f t="shared" si="51"/>
        <v>37.747990547488087</v>
      </c>
      <c r="AS15" s="30">
        <f t="shared" si="50"/>
        <v>37.583771230928562</v>
      </c>
      <c r="AT15" s="30">
        <f t="shared" si="51"/>
        <v>38.129959571735739</v>
      </c>
      <c r="AU15" s="30">
        <f t="shared" si="50"/>
        <v>38.08073516982553</v>
      </c>
      <c r="AV15" s="30">
        <f t="shared" si="51"/>
        <v>38.353829340229112</v>
      </c>
      <c r="AW15" s="30">
        <f t="shared" si="50"/>
        <v>38.168019047125561</v>
      </c>
      <c r="AX15" s="30">
        <f t="shared" si="51"/>
        <v>38.44111321752915</v>
      </c>
      <c r="AY15" s="30">
        <f t="shared" si="50"/>
        <v>38.382043553253993</v>
      </c>
      <c r="AZ15" s="30">
        <f t="shared" si="51"/>
        <v>38.56410633352305</v>
      </c>
      <c r="BA15" s="30">
        <f t="shared" si="50"/>
        <v>38.36012020816716</v>
      </c>
      <c r="BB15" s="30">
        <f t="shared" si="51"/>
        <v>38.542182988436224</v>
      </c>
      <c r="BC15" s="30">
        <f t="shared" si="50"/>
        <v>38.473680646750957</v>
      </c>
      <c r="BD15" s="30">
        <f t="shared" si="51"/>
        <v>38.655743427020013</v>
      </c>
      <c r="BE15" s="30">
        <f t="shared" si="50"/>
        <v>38.43690854602329</v>
      </c>
      <c r="BF15" s="30">
        <f t="shared" si="51"/>
        <v>38.527939936157814</v>
      </c>
      <c r="BG15" s="30">
        <f t="shared" si="50"/>
        <v>38.450700549186607</v>
      </c>
      <c r="BH15" s="30">
        <f t="shared" si="51"/>
        <v>38.541731939321139</v>
      </c>
    </row>
    <row r="16" spans="2:60" x14ac:dyDescent="0.3">
      <c r="B16" s="23"/>
      <c r="C16" s="27"/>
      <c r="D16" s="25">
        <f t="shared" si="52"/>
        <v>5.799999999999998</v>
      </c>
      <c r="E16" s="28">
        <v>0</v>
      </c>
      <c r="F16" s="29">
        <f t="shared" si="1"/>
        <v>16.385650224215247</v>
      </c>
      <c r="G16" s="5">
        <f t="shared" si="53"/>
        <v>16.385650224215247</v>
      </c>
      <c r="H16" s="29">
        <f t="shared" si="56"/>
        <v>20.026905829596412</v>
      </c>
      <c r="I16" s="28">
        <f t="shared" si="2"/>
        <v>20.026905829596412</v>
      </c>
      <c r="J16" s="30">
        <f t="shared" si="57"/>
        <v>24.032286995515694</v>
      </c>
      <c r="K16" s="30">
        <f t="shared" si="54"/>
        <v>24.032286995515694</v>
      </c>
      <c r="L16" s="30">
        <f t="shared" si="55"/>
        <v>25.306726457399105</v>
      </c>
      <c r="M16" s="30">
        <f t="shared" si="54"/>
        <v>25.306726457399105</v>
      </c>
      <c r="N16" s="30">
        <f t="shared" si="55"/>
        <v>26.945291479820629</v>
      </c>
      <c r="O16" s="30">
        <f t="shared" si="54"/>
        <v>26.945291479820629</v>
      </c>
      <c r="P16" s="30">
        <f t="shared" si="55"/>
        <v>28.583856502242153</v>
      </c>
      <c r="Q16" s="30">
        <f t="shared" si="54"/>
        <v>28.583856502242153</v>
      </c>
      <c r="R16" s="30">
        <f t="shared" si="55"/>
        <v>30.04035874439462</v>
      </c>
      <c r="S16" s="30">
        <f t="shared" si="54"/>
        <v>30.04035874439462</v>
      </c>
      <c r="T16" s="30">
        <f t="shared" si="55"/>
        <v>30.76860986547085</v>
      </c>
      <c r="U16" s="30">
        <f t="shared" si="54"/>
        <v>30.76860986547085</v>
      </c>
      <c r="V16" s="30">
        <f t="shared" si="55"/>
        <v>31.678923766816141</v>
      </c>
      <c r="W16" s="30">
        <f t="shared" si="54"/>
        <v>31.678923766816141</v>
      </c>
      <c r="X16" s="30">
        <f t="shared" si="55"/>
        <v>32.407174887892374</v>
      </c>
      <c r="Y16" s="30">
        <f t="shared" si="54"/>
        <v>32.407174887892374</v>
      </c>
      <c r="Z16" s="30">
        <f t="shared" si="55"/>
        <v>32.771300448430495</v>
      </c>
      <c r="AA16" s="30">
        <f t="shared" si="50"/>
        <v>32.763299642656946</v>
      </c>
      <c r="AB16" s="30">
        <f t="shared" si="51"/>
        <v>33.400519373598648</v>
      </c>
      <c r="AC16" s="30">
        <f t="shared" si="50"/>
        <v>33.398741416760089</v>
      </c>
      <c r="AD16" s="30">
        <f t="shared" si="51"/>
        <v>34.218023927970854</v>
      </c>
      <c r="AE16" s="30">
        <f t="shared" si="50"/>
        <v>34.194065959571191</v>
      </c>
      <c r="AF16" s="30">
        <f t="shared" si="51"/>
        <v>35.468505421454594</v>
      </c>
      <c r="AG16" s="30">
        <f t="shared" si="50"/>
        <v>35.462993755255042</v>
      </c>
      <c r="AH16" s="30">
        <f t="shared" si="51"/>
        <v>36.373307656600332</v>
      </c>
      <c r="AI16" s="30">
        <f t="shared" si="50"/>
        <v>36.328625378801142</v>
      </c>
      <c r="AJ16" s="30">
        <f t="shared" si="51"/>
        <v>36.874813719608326</v>
      </c>
      <c r="AK16" s="30">
        <f t="shared" si="50"/>
        <v>36.863745938288261</v>
      </c>
      <c r="AL16" s="30">
        <f t="shared" si="51"/>
        <v>37.227871498826374</v>
      </c>
      <c r="AM16" s="30">
        <f t="shared" si="50"/>
        <v>37.160542495795966</v>
      </c>
      <c r="AN16" s="30">
        <f t="shared" si="51"/>
        <v>37.706730836603143</v>
      </c>
      <c r="AO16" s="30">
        <f t="shared" si="50"/>
        <v>37.688956824332614</v>
      </c>
      <c r="AP16" s="30">
        <f t="shared" si="51"/>
        <v>37.871019604601663</v>
      </c>
      <c r="AQ16" s="30">
        <f t="shared" si="50"/>
        <v>37.781191113390719</v>
      </c>
      <c r="AR16" s="30">
        <f t="shared" si="51"/>
        <v>37.963253893659783</v>
      </c>
      <c r="AS16" s="30">
        <f t="shared" si="50"/>
        <v>37.938206926696502</v>
      </c>
      <c r="AT16" s="30">
        <f t="shared" si="51"/>
        <v>38.484395267503679</v>
      </c>
      <c r="AU16" s="30">
        <f t="shared" si="50"/>
        <v>38.373646787463812</v>
      </c>
      <c r="AV16" s="30">
        <f t="shared" si="51"/>
        <v>38.646740957867394</v>
      </c>
      <c r="AW16" s="30">
        <f t="shared" si="50"/>
        <v>38.614278313504201</v>
      </c>
      <c r="AX16" s="30">
        <f t="shared" si="51"/>
        <v>38.887372483907789</v>
      </c>
      <c r="AY16" s="30">
        <f t="shared" si="50"/>
        <v>38.757779614700851</v>
      </c>
      <c r="AZ16" s="30">
        <f t="shared" si="51"/>
        <v>38.939842394969908</v>
      </c>
      <c r="BA16" s="30">
        <f t="shared" si="50"/>
        <v>38.899761275004906</v>
      </c>
      <c r="BB16" s="30">
        <f t="shared" si="51"/>
        <v>39.08182405527397</v>
      </c>
      <c r="BC16" s="30">
        <f t="shared" si="50"/>
        <v>38.935467822455493</v>
      </c>
      <c r="BD16" s="30">
        <f t="shared" si="51"/>
        <v>39.11753060272455</v>
      </c>
      <c r="BE16" s="30">
        <f t="shared" si="50"/>
        <v>39.069878212432684</v>
      </c>
      <c r="BF16" s="30">
        <f t="shared" si="51"/>
        <v>39.160909602567209</v>
      </c>
      <c r="BG16" s="30">
        <f t="shared" si="50"/>
        <v>38.999964121037522</v>
      </c>
      <c r="BH16" s="30">
        <f t="shared" si="51"/>
        <v>39.090995511172054</v>
      </c>
    </row>
    <row r="17" spans="2:60" x14ac:dyDescent="0.3">
      <c r="B17" s="23"/>
      <c r="C17" s="27"/>
      <c r="D17" s="25">
        <f t="shared" si="52"/>
        <v>5.5999999999999979</v>
      </c>
      <c r="E17" s="28">
        <v>0</v>
      </c>
      <c r="F17" s="29">
        <f t="shared" si="1"/>
        <v>16.385650224215247</v>
      </c>
      <c r="G17" s="5">
        <f t="shared" si="53"/>
        <v>16.385650224215247</v>
      </c>
      <c r="H17" s="29">
        <f t="shared" si="56"/>
        <v>20.026905829596412</v>
      </c>
      <c r="I17" s="28">
        <f t="shared" si="2"/>
        <v>20.026905829596412</v>
      </c>
      <c r="J17" s="30">
        <f t="shared" si="57"/>
        <v>24.032286995515694</v>
      </c>
      <c r="K17" s="30">
        <f t="shared" si="54"/>
        <v>24.032286995515694</v>
      </c>
      <c r="L17" s="30">
        <f t="shared" si="55"/>
        <v>25.306726457399105</v>
      </c>
      <c r="M17" s="30">
        <f t="shared" si="54"/>
        <v>25.306726457399105</v>
      </c>
      <c r="N17" s="30">
        <f t="shared" si="55"/>
        <v>26.945291479820629</v>
      </c>
      <c r="O17" s="30">
        <f t="shared" si="54"/>
        <v>26.945291479820629</v>
      </c>
      <c r="P17" s="30">
        <f t="shared" si="55"/>
        <v>28.583856502242153</v>
      </c>
      <c r="Q17" s="30">
        <f t="shared" si="54"/>
        <v>28.583856502242153</v>
      </c>
      <c r="R17" s="30">
        <f t="shared" si="55"/>
        <v>30.04035874439462</v>
      </c>
      <c r="S17" s="30">
        <f t="shared" si="54"/>
        <v>30.04035874439462</v>
      </c>
      <c r="T17" s="30">
        <f t="shared" si="55"/>
        <v>30.76860986547085</v>
      </c>
      <c r="U17" s="30">
        <f t="shared" si="54"/>
        <v>30.76860986547085</v>
      </c>
      <c r="V17" s="30">
        <f t="shared" si="55"/>
        <v>31.678923766816141</v>
      </c>
      <c r="W17" s="30">
        <f t="shared" si="54"/>
        <v>31.678923766816141</v>
      </c>
      <c r="X17" s="30">
        <f t="shared" si="55"/>
        <v>32.407174887892374</v>
      </c>
      <c r="Y17" s="30">
        <f t="shared" si="54"/>
        <v>32.407174887892374</v>
      </c>
      <c r="Z17" s="30">
        <f t="shared" si="55"/>
        <v>32.771300448430495</v>
      </c>
      <c r="AA17" s="30">
        <f t="shared" si="50"/>
        <v>32.771300448430495</v>
      </c>
      <c r="AB17" s="30">
        <f t="shared" si="51"/>
        <v>33.408520179372196</v>
      </c>
      <c r="AC17" s="30">
        <f t="shared" si="50"/>
        <v>33.404519776485422</v>
      </c>
      <c r="AD17" s="30">
        <f t="shared" si="51"/>
        <v>34.223802287696188</v>
      </c>
      <c r="AE17" s="30">
        <f t="shared" si="50"/>
        <v>34.222913309276905</v>
      </c>
      <c r="AF17" s="30">
        <f t="shared" si="51"/>
        <v>35.497352771160308</v>
      </c>
      <c r="AG17" s="30">
        <f t="shared" si="50"/>
        <v>35.484373686238783</v>
      </c>
      <c r="AH17" s="30">
        <f t="shared" si="51"/>
        <v>36.394687587584073</v>
      </c>
      <c r="AI17" s="30">
        <f t="shared" si="50"/>
        <v>36.391709509879476</v>
      </c>
      <c r="AJ17" s="30">
        <f t="shared" si="51"/>
        <v>36.93789785068666</v>
      </c>
      <c r="AK17" s="30">
        <f t="shared" si="50"/>
        <v>36.912061915376263</v>
      </c>
      <c r="AL17" s="30">
        <f t="shared" si="51"/>
        <v>37.276187475914377</v>
      </c>
      <c r="AM17" s="30">
        <f t="shared" si="50"/>
        <v>37.269853504676988</v>
      </c>
      <c r="AN17" s="30">
        <f t="shared" si="51"/>
        <v>37.816041845484165</v>
      </c>
      <c r="AO17" s="30">
        <f t="shared" si="50"/>
        <v>37.774982154743554</v>
      </c>
      <c r="AP17" s="30">
        <f t="shared" si="51"/>
        <v>37.957044935012604</v>
      </c>
      <c r="AQ17" s="30">
        <f t="shared" si="50"/>
        <v>37.946360525635853</v>
      </c>
      <c r="AR17" s="30">
        <f t="shared" si="51"/>
        <v>38.128423305904917</v>
      </c>
      <c r="AS17" s="30">
        <f t="shared" si="50"/>
        <v>38.071145662384708</v>
      </c>
      <c r="AT17" s="30">
        <f t="shared" si="51"/>
        <v>38.617334003191885</v>
      </c>
      <c r="AU17" s="30">
        <f t="shared" si="50"/>
        <v>38.601633116375709</v>
      </c>
      <c r="AV17" s="30">
        <f t="shared" si="51"/>
        <v>38.87472728677929</v>
      </c>
      <c r="AW17" s="30">
        <f t="shared" si="50"/>
        <v>38.801351841468971</v>
      </c>
      <c r="AX17" s="30">
        <f t="shared" si="51"/>
        <v>39.07444601187256</v>
      </c>
      <c r="AY17" s="30">
        <f t="shared" si="50"/>
        <v>39.053353436217712</v>
      </c>
      <c r="AZ17" s="30">
        <f t="shared" si="51"/>
        <v>39.235416216486769</v>
      </c>
      <c r="BA17" s="30">
        <f t="shared" si="50"/>
        <v>39.146689876205706</v>
      </c>
      <c r="BB17" s="30">
        <f t="shared" si="51"/>
        <v>39.328752656474769</v>
      </c>
      <c r="BC17" s="30">
        <f t="shared" si="50"/>
        <v>39.301950217576305</v>
      </c>
      <c r="BD17" s="30">
        <f t="shared" si="51"/>
        <v>39.484012997845362</v>
      </c>
      <c r="BE17" s="30">
        <f t="shared" si="50"/>
        <v>39.380956915782697</v>
      </c>
      <c r="BF17" s="30">
        <f t="shared" si="51"/>
        <v>39.471988305917222</v>
      </c>
      <c r="BG17" s="30">
        <f t="shared" si="50"/>
        <v>39.439319525071049</v>
      </c>
      <c r="BH17" s="30">
        <f t="shared" si="51"/>
        <v>39.530350915205581</v>
      </c>
    </row>
    <row r="18" spans="2:60" x14ac:dyDescent="0.3">
      <c r="B18" s="23"/>
      <c r="C18" s="27"/>
      <c r="D18" s="25">
        <f t="shared" si="52"/>
        <v>5.3999999999999977</v>
      </c>
      <c r="E18" s="28">
        <v>0</v>
      </c>
      <c r="F18" s="29">
        <f t="shared" si="1"/>
        <v>16.385650224215247</v>
      </c>
      <c r="G18" s="5">
        <f t="shared" si="53"/>
        <v>16.385650224215247</v>
      </c>
      <c r="H18" s="29">
        <f t="shared" si="56"/>
        <v>20.026905829596412</v>
      </c>
      <c r="I18" s="28">
        <f t="shared" si="2"/>
        <v>20.026905829596412</v>
      </c>
      <c r="J18" s="30">
        <f t="shared" si="57"/>
        <v>24.032286995515694</v>
      </c>
      <c r="K18" s="30">
        <f t="shared" si="54"/>
        <v>24.032286995515694</v>
      </c>
      <c r="L18" s="30">
        <f t="shared" si="55"/>
        <v>25.306726457399105</v>
      </c>
      <c r="M18" s="30">
        <f t="shared" si="54"/>
        <v>25.306726457399105</v>
      </c>
      <c r="N18" s="30">
        <f t="shared" si="55"/>
        <v>26.945291479820629</v>
      </c>
      <c r="O18" s="30">
        <f t="shared" si="54"/>
        <v>26.945291479820629</v>
      </c>
      <c r="P18" s="30">
        <f t="shared" si="55"/>
        <v>28.583856502242153</v>
      </c>
      <c r="Q18" s="30">
        <f t="shared" si="54"/>
        <v>28.583856502242153</v>
      </c>
      <c r="R18" s="30">
        <f t="shared" si="55"/>
        <v>30.04035874439462</v>
      </c>
      <c r="S18" s="30">
        <f t="shared" si="54"/>
        <v>30.04035874439462</v>
      </c>
      <c r="T18" s="30">
        <f t="shared" si="55"/>
        <v>30.76860986547085</v>
      </c>
      <c r="U18" s="30">
        <f t="shared" si="54"/>
        <v>30.76860986547085</v>
      </c>
      <c r="V18" s="30">
        <f t="shared" si="55"/>
        <v>31.678923766816141</v>
      </c>
      <c r="W18" s="30">
        <f t="shared" si="54"/>
        <v>31.678923766816141</v>
      </c>
      <c r="X18" s="30">
        <f t="shared" si="55"/>
        <v>32.407174887892374</v>
      </c>
      <c r="Y18" s="30">
        <f t="shared" si="54"/>
        <v>32.407174887892374</v>
      </c>
      <c r="Z18" s="30">
        <f t="shared" si="55"/>
        <v>32.771300448430495</v>
      </c>
      <c r="AA18" s="30">
        <f t="shared" si="50"/>
        <v>32.771300448430495</v>
      </c>
      <c r="AB18" s="30">
        <f t="shared" si="51"/>
        <v>33.408520179372196</v>
      </c>
      <c r="AC18" s="30">
        <f t="shared" si="50"/>
        <v>33.408520179372196</v>
      </c>
      <c r="AD18" s="30">
        <f t="shared" si="51"/>
        <v>34.227802690582962</v>
      </c>
      <c r="AE18" s="30">
        <f t="shared" si="50"/>
        <v>34.225802489139575</v>
      </c>
      <c r="AF18" s="30">
        <f t="shared" si="51"/>
        <v>35.500241951022979</v>
      </c>
      <c r="AG18" s="30">
        <f t="shared" si="50"/>
        <v>35.499797461813337</v>
      </c>
      <c r="AH18" s="30">
        <f t="shared" si="51"/>
        <v>36.410111363158627</v>
      </c>
      <c r="AI18" s="30">
        <f t="shared" si="50"/>
        <v>36.403121770337016</v>
      </c>
      <c r="AJ18" s="30">
        <f t="shared" si="51"/>
        <v>36.9493101111442</v>
      </c>
      <c r="AK18" s="30">
        <f t="shared" si="50"/>
        <v>36.947709949989495</v>
      </c>
      <c r="AL18" s="30">
        <f t="shared" si="51"/>
        <v>37.311835510527608</v>
      </c>
      <c r="AM18" s="30">
        <f t="shared" si="50"/>
        <v>37.297045132076789</v>
      </c>
      <c r="AN18" s="30">
        <f t="shared" si="51"/>
        <v>37.843233472883966</v>
      </c>
      <c r="AO18" s="30">
        <f t="shared" si="50"/>
        <v>37.839638666401001</v>
      </c>
      <c r="AP18" s="30">
        <f t="shared" si="51"/>
        <v>38.02170144667005</v>
      </c>
      <c r="AQ18" s="30">
        <f t="shared" si="50"/>
        <v>37.996974650840578</v>
      </c>
      <c r="AR18" s="30">
        <f t="shared" si="51"/>
        <v>38.179037431109641</v>
      </c>
      <c r="AS18" s="30">
        <f t="shared" si="50"/>
        <v>38.172682624440554</v>
      </c>
      <c r="AT18" s="30">
        <f t="shared" si="51"/>
        <v>38.718870965247731</v>
      </c>
      <c r="AU18" s="30">
        <f t="shared" si="50"/>
        <v>38.682868554666967</v>
      </c>
      <c r="AV18" s="30">
        <f t="shared" si="51"/>
        <v>38.955962725070549</v>
      </c>
      <c r="AW18" s="30">
        <f t="shared" si="50"/>
        <v>38.946240218124046</v>
      </c>
      <c r="AX18" s="30">
        <f t="shared" si="51"/>
        <v>39.219334388527635</v>
      </c>
      <c r="AY18" s="30">
        <f t="shared" si="50"/>
        <v>39.171474577172447</v>
      </c>
      <c r="AZ18" s="30">
        <f t="shared" si="51"/>
        <v>39.353537357441503</v>
      </c>
      <c r="BA18" s="30">
        <f t="shared" si="50"/>
        <v>39.340013599609577</v>
      </c>
      <c r="BB18" s="30">
        <f t="shared" si="51"/>
        <v>39.522076379878641</v>
      </c>
      <c r="BC18" s="30">
        <f t="shared" si="50"/>
        <v>39.462320448571788</v>
      </c>
      <c r="BD18" s="30">
        <f t="shared" si="51"/>
        <v>39.644383228840844</v>
      </c>
      <c r="BE18" s="30">
        <f t="shared" si="50"/>
        <v>39.626698057440365</v>
      </c>
      <c r="BF18" s="30">
        <f t="shared" si="51"/>
        <v>39.717729447574889</v>
      </c>
      <c r="BG18" s="30">
        <f t="shared" si="50"/>
        <v>39.646373140076875</v>
      </c>
      <c r="BH18" s="30">
        <f t="shared" si="51"/>
        <v>39.737404530211407</v>
      </c>
    </row>
    <row r="19" spans="2:60" x14ac:dyDescent="0.3">
      <c r="B19" s="23"/>
      <c r="C19" s="27"/>
      <c r="D19" s="25">
        <f t="shared" si="52"/>
        <v>5.1999999999999975</v>
      </c>
      <c r="E19" s="28">
        <v>0</v>
      </c>
      <c r="F19" s="29">
        <f t="shared" si="1"/>
        <v>16.385650224215247</v>
      </c>
      <c r="G19" s="5">
        <f t="shared" si="53"/>
        <v>16.385650224215247</v>
      </c>
      <c r="H19" s="29">
        <f t="shared" si="56"/>
        <v>20.026905829596412</v>
      </c>
      <c r="I19" s="28">
        <f t="shared" si="2"/>
        <v>20.026905829596412</v>
      </c>
      <c r="J19" s="30">
        <f t="shared" si="57"/>
        <v>24.032286995515694</v>
      </c>
      <c r="K19" s="30">
        <f t="shared" si="54"/>
        <v>24.032286995515694</v>
      </c>
      <c r="L19" s="30">
        <f t="shared" si="55"/>
        <v>25.306726457399105</v>
      </c>
      <c r="M19" s="30">
        <f t="shared" si="54"/>
        <v>25.306726457399105</v>
      </c>
      <c r="N19" s="30">
        <f t="shared" si="55"/>
        <v>26.945291479820629</v>
      </c>
      <c r="O19" s="30">
        <f t="shared" si="54"/>
        <v>26.945291479820629</v>
      </c>
      <c r="P19" s="30">
        <f t="shared" si="55"/>
        <v>28.583856502242153</v>
      </c>
      <c r="Q19" s="30">
        <f t="shared" si="54"/>
        <v>28.583856502242153</v>
      </c>
      <c r="R19" s="30">
        <f t="shared" si="55"/>
        <v>30.04035874439462</v>
      </c>
      <c r="S19" s="30">
        <f t="shared" si="54"/>
        <v>30.04035874439462</v>
      </c>
      <c r="T19" s="30">
        <f t="shared" si="55"/>
        <v>30.76860986547085</v>
      </c>
      <c r="U19" s="30">
        <f t="shared" si="54"/>
        <v>30.76860986547085</v>
      </c>
      <c r="V19" s="30">
        <f t="shared" si="55"/>
        <v>31.678923766816141</v>
      </c>
      <c r="W19" s="30">
        <f t="shared" si="54"/>
        <v>31.678923766816141</v>
      </c>
      <c r="X19" s="30">
        <f t="shared" si="55"/>
        <v>32.407174887892374</v>
      </c>
      <c r="Y19" s="30">
        <f t="shared" si="54"/>
        <v>32.407174887892374</v>
      </c>
      <c r="Z19" s="30">
        <f t="shared" si="55"/>
        <v>32.771300448430495</v>
      </c>
      <c r="AA19" s="30">
        <f t="shared" si="50"/>
        <v>32.771300448430495</v>
      </c>
      <c r="AB19" s="30">
        <f t="shared" si="51"/>
        <v>33.408520179372196</v>
      </c>
      <c r="AC19" s="30">
        <f t="shared" si="50"/>
        <v>33.408520179372196</v>
      </c>
      <c r="AD19" s="30">
        <f t="shared" si="51"/>
        <v>34.227802690582962</v>
      </c>
      <c r="AE19" s="30">
        <f t="shared" si="50"/>
        <v>34.227802690582962</v>
      </c>
      <c r="AF19" s="30">
        <f t="shared" si="51"/>
        <v>35.502242152466366</v>
      </c>
      <c r="AG19" s="30">
        <f t="shared" si="50"/>
        <v>35.501242051744669</v>
      </c>
      <c r="AH19" s="30">
        <f t="shared" si="51"/>
        <v>36.411555953089959</v>
      </c>
      <c r="AI19" s="30">
        <f t="shared" si="50"/>
        <v>36.411333708485145</v>
      </c>
      <c r="AJ19" s="30">
        <f t="shared" si="51"/>
        <v>36.957522049292329</v>
      </c>
      <c r="AK19" s="30">
        <f t="shared" si="50"/>
        <v>36.953777227701096</v>
      </c>
      <c r="AL19" s="30">
        <f t="shared" si="51"/>
        <v>37.317902788239209</v>
      </c>
      <c r="AM19" s="30">
        <f t="shared" si="50"/>
        <v>37.317047146510653</v>
      </c>
      <c r="AN19" s="30">
        <f t="shared" si="51"/>
        <v>37.86323548731783</v>
      </c>
      <c r="AO19" s="30">
        <f t="shared" si="50"/>
        <v>37.854841586399502</v>
      </c>
      <c r="AP19" s="30">
        <f t="shared" si="51"/>
        <v>38.036904366668551</v>
      </c>
      <c r="AQ19" s="30">
        <f t="shared" si="50"/>
        <v>38.034879162707135</v>
      </c>
      <c r="AR19" s="30">
        <f t="shared" si="51"/>
        <v>38.216941942976199</v>
      </c>
      <c r="AS19" s="30">
        <f t="shared" si="50"/>
        <v>38.202214765334872</v>
      </c>
      <c r="AT19" s="30">
        <f t="shared" si="51"/>
        <v>38.74840310614205</v>
      </c>
      <c r="AU19" s="30">
        <f t="shared" si="50"/>
        <v>38.744658979065221</v>
      </c>
      <c r="AV19" s="30">
        <f t="shared" si="51"/>
        <v>39.017753149468803</v>
      </c>
      <c r="AW19" s="30">
        <f t="shared" si="50"/>
        <v>38.995408972068745</v>
      </c>
      <c r="AX19" s="30">
        <f t="shared" si="51"/>
        <v>39.268503142472333</v>
      </c>
      <c r="AY19" s="30">
        <f t="shared" si="50"/>
        <v>39.262548202463336</v>
      </c>
      <c r="AZ19" s="30">
        <f t="shared" si="51"/>
        <v>39.444610982732392</v>
      </c>
      <c r="BA19" s="30">
        <f t="shared" si="50"/>
        <v>39.413825460399735</v>
      </c>
      <c r="BB19" s="30">
        <f t="shared" si="51"/>
        <v>39.595888240668799</v>
      </c>
      <c r="BC19" s="30">
        <f t="shared" si="50"/>
        <v>39.587320336766311</v>
      </c>
      <c r="BD19" s="30">
        <f t="shared" si="51"/>
        <v>39.769383117035368</v>
      </c>
      <c r="BE19" s="30">
        <f t="shared" si="50"/>
        <v>39.729726584101996</v>
      </c>
      <c r="BF19" s="30">
        <f t="shared" si="51"/>
        <v>39.820757974236521</v>
      </c>
      <c r="BG19" s="30">
        <f t="shared" si="50"/>
        <v>39.809229229337163</v>
      </c>
      <c r="BH19" s="30">
        <f t="shared" si="51"/>
        <v>39.900260619471695</v>
      </c>
    </row>
    <row r="20" spans="2:60" x14ac:dyDescent="0.3">
      <c r="B20" s="23"/>
      <c r="C20" s="27"/>
      <c r="D20" s="25">
        <f t="shared" si="52"/>
        <v>4.9999999999999973</v>
      </c>
      <c r="E20" s="28">
        <v>0</v>
      </c>
      <c r="F20" s="29">
        <f t="shared" si="1"/>
        <v>16.385650224215247</v>
      </c>
      <c r="G20" s="5">
        <f t="shared" si="53"/>
        <v>16.385650224215247</v>
      </c>
      <c r="H20" s="29">
        <f t="shared" si="56"/>
        <v>20.026905829596412</v>
      </c>
      <c r="I20" s="28">
        <f t="shared" si="2"/>
        <v>20.026905829596412</v>
      </c>
      <c r="J20" s="30">
        <f t="shared" si="57"/>
        <v>24.032286995515694</v>
      </c>
      <c r="K20" s="30">
        <f t="shared" si="54"/>
        <v>24.032286995515694</v>
      </c>
      <c r="L20" s="30">
        <f t="shared" si="55"/>
        <v>25.306726457399105</v>
      </c>
      <c r="M20" s="30">
        <f t="shared" si="54"/>
        <v>25.306726457399105</v>
      </c>
      <c r="N20" s="30">
        <f t="shared" si="55"/>
        <v>26.945291479820629</v>
      </c>
      <c r="O20" s="30">
        <f t="shared" si="54"/>
        <v>26.945291479820629</v>
      </c>
      <c r="P20" s="30">
        <f t="shared" si="55"/>
        <v>28.583856502242153</v>
      </c>
      <c r="Q20" s="30">
        <f t="shared" si="54"/>
        <v>28.583856502242153</v>
      </c>
      <c r="R20" s="30">
        <f t="shared" si="55"/>
        <v>30.04035874439462</v>
      </c>
      <c r="S20" s="30">
        <f t="shared" si="54"/>
        <v>30.04035874439462</v>
      </c>
      <c r="T20" s="30">
        <f t="shared" si="55"/>
        <v>30.76860986547085</v>
      </c>
      <c r="U20" s="30">
        <f t="shared" si="54"/>
        <v>30.76860986547085</v>
      </c>
      <c r="V20" s="30">
        <f t="shared" si="55"/>
        <v>31.678923766816141</v>
      </c>
      <c r="W20" s="30">
        <f t="shared" si="54"/>
        <v>31.678923766816141</v>
      </c>
      <c r="X20" s="30">
        <f t="shared" si="55"/>
        <v>32.407174887892374</v>
      </c>
      <c r="Y20" s="30">
        <f t="shared" si="54"/>
        <v>32.407174887892374</v>
      </c>
      <c r="Z20" s="30">
        <f t="shared" si="55"/>
        <v>32.771300448430495</v>
      </c>
      <c r="AA20" s="30">
        <f t="shared" si="50"/>
        <v>32.771300448430495</v>
      </c>
      <c r="AB20" s="30">
        <f t="shared" si="51"/>
        <v>33.408520179372196</v>
      </c>
      <c r="AC20" s="30">
        <f t="shared" si="50"/>
        <v>33.408520179372196</v>
      </c>
      <c r="AD20" s="30">
        <f t="shared" si="51"/>
        <v>34.227802690582962</v>
      </c>
      <c r="AE20" s="30">
        <f t="shared" si="50"/>
        <v>34.227802690582962</v>
      </c>
      <c r="AF20" s="30">
        <f t="shared" si="51"/>
        <v>35.502242152466366</v>
      </c>
      <c r="AG20" s="30">
        <f t="shared" si="50"/>
        <v>35.502242152466366</v>
      </c>
      <c r="AH20" s="30">
        <f t="shared" si="51"/>
        <v>36.412556053811656</v>
      </c>
      <c r="AI20" s="30">
        <f t="shared" si="50"/>
        <v>36.412056003450807</v>
      </c>
      <c r="AJ20" s="30">
        <f t="shared" si="51"/>
        <v>36.958244344257992</v>
      </c>
      <c r="AK20" s="30">
        <f t="shared" si="50"/>
        <v>36.958133221955585</v>
      </c>
      <c r="AL20" s="30">
        <f t="shared" si="51"/>
        <v>37.322258782493698</v>
      </c>
      <c r="AM20" s="30">
        <f t="shared" si="50"/>
        <v>37.320261359107867</v>
      </c>
      <c r="AN20" s="30">
        <f t="shared" si="51"/>
        <v>37.866449699915044</v>
      </c>
      <c r="AO20" s="30">
        <f t="shared" si="50"/>
        <v>37.86599409847517</v>
      </c>
      <c r="AP20" s="30">
        <f t="shared" si="51"/>
        <v>38.048056878744219</v>
      </c>
      <c r="AQ20" s="30">
        <f t="shared" si="50"/>
        <v>38.04332931929104</v>
      </c>
      <c r="AR20" s="30">
        <f t="shared" si="51"/>
        <v>38.225392099560104</v>
      </c>
      <c r="AS20" s="30">
        <f t="shared" si="50"/>
        <v>38.224258652075534</v>
      </c>
      <c r="AT20" s="30">
        <f t="shared" si="51"/>
        <v>38.770446992882711</v>
      </c>
      <c r="AU20" s="30">
        <f t="shared" si="50"/>
        <v>38.761761048663359</v>
      </c>
      <c r="AV20" s="30">
        <f t="shared" si="51"/>
        <v>39.034855219066941</v>
      </c>
      <c r="AW20" s="30">
        <f t="shared" si="50"/>
        <v>39.032667845995441</v>
      </c>
      <c r="AX20" s="30">
        <f t="shared" si="51"/>
        <v>39.305762016399029</v>
      </c>
      <c r="AY20" s="30">
        <f t="shared" si="50"/>
        <v>39.292050783088918</v>
      </c>
      <c r="AZ20" s="30">
        <f t="shared" si="51"/>
        <v>39.474113563357974</v>
      </c>
      <c r="BA20" s="30">
        <f t="shared" si="50"/>
        <v>39.470501513384917</v>
      </c>
      <c r="BB20" s="30">
        <f t="shared" si="51"/>
        <v>39.652564293653981</v>
      </c>
      <c r="BC20" s="30">
        <f t="shared" si="50"/>
        <v>39.633007159094099</v>
      </c>
      <c r="BD20" s="30">
        <f t="shared" si="51"/>
        <v>39.815069939363156</v>
      </c>
      <c r="BE20" s="30">
        <f t="shared" si="50"/>
        <v>39.809697620964911</v>
      </c>
      <c r="BF20" s="30">
        <f t="shared" si="51"/>
        <v>39.900729011099436</v>
      </c>
      <c r="BG20" s="30">
        <f t="shared" si="50"/>
        <v>39.874757667186536</v>
      </c>
      <c r="BH20" s="30">
        <f t="shared" si="51"/>
        <v>39.965789057321068</v>
      </c>
    </row>
    <row r="21" spans="2:60" x14ac:dyDescent="0.3">
      <c r="B21" s="23"/>
      <c r="C21" s="27"/>
      <c r="D21" s="25">
        <f t="shared" si="52"/>
        <v>4.7999999999999972</v>
      </c>
      <c r="E21" s="28">
        <v>0</v>
      </c>
      <c r="F21" s="29">
        <f t="shared" si="1"/>
        <v>16.385650224215247</v>
      </c>
      <c r="G21" s="5">
        <f t="shared" si="53"/>
        <v>16.385650224215247</v>
      </c>
      <c r="H21" s="29">
        <f t="shared" si="56"/>
        <v>20.026905829596412</v>
      </c>
      <c r="I21" s="28">
        <f t="shared" si="2"/>
        <v>20.026905829596412</v>
      </c>
      <c r="J21" s="30">
        <f t="shared" si="57"/>
        <v>24.032286995515694</v>
      </c>
      <c r="K21" s="30">
        <f t="shared" si="54"/>
        <v>24.032286995515694</v>
      </c>
      <c r="L21" s="30">
        <f t="shared" si="55"/>
        <v>25.306726457399105</v>
      </c>
      <c r="M21" s="30">
        <f t="shared" si="54"/>
        <v>25.306726457399105</v>
      </c>
      <c r="N21" s="30">
        <f t="shared" si="55"/>
        <v>26.945291479820629</v>
      </c>
      <c r="O21" s="30">
        <f t="shared" si="54"/>
        <v>26.945291479820629</v>
      </c>
      <c r="P21" s="30">
        <f t="shared" si="55"/>
        <v>28.583856502242153</v>
      </c>
      <c r="Q21" s="30">
        <f t="shared" si="54"/>
        <v>28.583856502242153</v>
      </c>
      <c r="R21" s="30">
        <f t="shared" si="55"/>
        <v>30.04035874439462</v>
      </c>
      <c r="S21" s="30">
        <f t="shared" si="54"/>
        <v>30.04035874439462</v>
      </c>
      <c r="T21" s="30">
        <f t="shared" si="55"/>
        <v>30.76860986547085</v>
      </c>
      <c r="U21" s="30">
        <f t="shared" si="54"/>
        <v>30.76860986547085</v>
      </c>
      <c r="V21" s="30">
        <f t="shared" si="55"/>
        <v>31.678923766816141</v>
      </c>
      <c r="W21" s="30">
        <f t="shared" si="54"/>
        <v>31.678923766816141</v>
      </c>
      <c r="X21" s="30">
        <f t="shared" si="55"/>
        <v>32.407174887892374</v>
      </c>
      <c r="Y21" s="30">
        <f t="shared" si="54"/>
        <v>32.407174887892374</v>
      </c>
      <c r="Z21" s="30">
        <f t="shared" si="55"/>
        <v>32.771300448430495</v>
      </c>
      <c r="AA21" s="30">
        <f t="shared" si="50"/>
        <v>32.771300448430495</v>
      </c>
      <c r="AB21" s="30">
        <f t="shared" si="51"/>
        <v>33.408520179372196</v>
      </c>
      <c r="AC21" s="30">
        <f t="shared" si="50"/>
        <v>33.408520179372196</v>
      </c>
      <c r="AD21" s="30">
        <f t="shared" si="51"/>
        <v>34.227802690582962</v>
      </c>
      <c r="AE21" s="30">
        <f t="shared" si="50"/>
        <v>34.227802690582962</v>
      </c>
      <c r="AF21" s="30">
        <f t="shared" si="51"/>
        <v>35.502242152466366</v>
      </c>
      <c r="AG21" s="30">
        <f t="shared" si="50"/>
        <v>35.502242152466366</v>
      </c>
      <c r="AH21" s="30">
        <f t="shared" si="51"/>
        <v>36.412556053811656</v>
      </c>
      <c r="AI21" s="30">
        <f t="shared" si="50"/>
        <v>36.412556053811656</v>
      </c>
      <c r="AJ21" s="30">
        <f t="shared" si="51"/>
        <v>36.95874439461884</v>
      </c>
      <c r="AK21" s="30">
        <f t="shared" si="50"/>
        <v>36.958494369438412</v>
      </c>
      <c r="AL21" s="30">
        <f t="shared" si="51"/>
        <v>37.322619929976526</v>
      </c>
      <c r="AM21" s="30">
        <f t="shared" si="50"/>
        <v>37.322564368825326</v>
      </c>
      <c r="AN21" s="30">
        <f t="shared" si="51"/>
        <v>37.868752709632503</v>
      </c>
      <c r="AO21" s="30">
        <f t="shared" si="50"/>
        <v>37.867691491644479</v>
      </c>
      <c r="AP21" s="30">
        <f t="shared" si="51"/>
        <v>38.049754271913528</v>
      </c>
      <c r="AQ21" s="30">
        <f t="shared" si="50"/>
        <v>38.049512580905798</v>
      </c>
      <c r="AR21" s="30">
        <f t="shared" si="51"/>
        <v>38.231575361174862</v>
      </c>
      <c r="AS21" s="30">
        <f t="shared" si="50"/>
        <v>38.228930650377485</v>
      </c>
      <c r="AT21" s="30">
        <f t="shared" si="51"/>
        <v>38.775118991184662</v>
      </c>
      <c r="AU21" s="30">
        <f t="shared" si="50"/>
        <v>38.774488372118498</v>
      </c>
      <c r="AV21" s="30">
        <f t="shared" si="51"/>
        <v>39.047582542522079</v>
      </c>
      <c r="AW21" s="30">
        <f t="shared" si="50"/>
        <v>39.042504253301914</v>
      </c>
      <c r="AX21" s="30">
        <f t="shared" si="51"/>
        <v>39.315598423705502</v>
      </c>
      <c r="AY21" s="30">
        <f t="shared" si="50"/>
        <v>39.314329263768393</v>
      </c>
      <c r="AZ21" s="30">
        <f t="shared" si="51"/>
        <v>39.496392044037449</v>
      </c>
      <c r="BA21" s="30">
        <f t="shared" si="50"/>
        <v>39.488063297250335</v>
      </c>
      <c r="BB21" s="30">
        <f t="shared" si="51"/>
        <v>39.670126077519399</v>
      </c>
      <c r="BC21" s="30">
        <f t="shared" si="50"/>
        <v>39.667949344625391</v>
      </c>
      <c r="BD21" s="30">
        <f t="shared" si="51"/>
        <v>39.850012124894448</v>
      </c>
      <c r="BE21" s="30">
        <f t="shared" si="50"/>
        <v>39.837725970002026</v>
      </c>
      <c r="BF21" s="30">
        <f t="shared" si="51"/>
        <v>39.928757360136551</v>
      </c>
      <c r="BG21" s="30">
        <f t="shared" si="50"/>
        <v>39.925405835804654</v>
      </c>
      <c r="BH21" s="30">
        <f t="shared" si="51"/>
        <v>40.016437225939185</v>
      </c>
    </row>
    <row r="22" spans="2:60" x14ac:dyDescent="0.3">
      <c r="B22" s="23"/>
      <c r="C22" s="27"/>
      <c r="D22" s="25">
        <f t="shared" si="52"/>
        <v>4.599999999999997</v>
      </c>
      <c r="E22" s="28">
        <v>0</v>
      </c>
      <c r="F22" s="29">
        <f t="shared" si="1"/>
        <v>16.385650224215247</v>
      </c>
      <c r="G22" s="5">
        <f t="shared" si="53"/>
        <v>16.385650224215247</v>
      </c>
      <c r="H22" s="29">
        <f t="shared" si="56"/>
        <v>20.026905829596412</v>
      </c>
      <c r="I22" s="28">
        <f t="shared" si="2"/>
        <v>20.026905829596412</v>
      </c>
      <c r="J22" s="30">
        <f t="shared" si="57"/>
        <v>24.032286995515694</v>
      </c>
      <c r="K22" s="30">
        <f t="shared" si="54"/>
        <v>24.032286995515694</v>
      </c>
      <c r="L22" s="30">
        <f t="shared" si="55"/>
        <v>25.306726457399105</v>
      </c>
      <c r="M22" s="30">
        <f t="shared" si="54"/>
        <v>25.306726457399105</v>
      </c>
      <c r="N22" s="30">
        <f t="shared" si="55"/>
        <v>26.945291479820629</v>
      </c>
      <c r="O22" s="30">
        <f t="shared" si="54"/>
        <v>26.945291479820629</v>
      </c>
      <c r="P22" s="30">
        <f t="shared" si="55"/>
        <v>28.583856502242153</v>
      </c>
      <c r="Q22" s="30">
        <f t="shared" si="54"/>
        <v>28.583856502242153</v>
      </c>
      <c r="R22" s="30">
        <f t="shared" si="55"/>
        <v>30.04035874439462</v>
      </c>
      <c r="S22" s="30">
        <f t="shared" si="54"/>
        <v>30.04035874439462</v>
      </c>
      <c r="T22" s="30">
        <f t="shared" si="55"/>
        <v>30.76860986547085</v>
      </c>
      <c r="U22" s="30">
        <f t="shared" si="54"/>
        <v>30.76860986547085</v>
      </c>
      <c r="V22" s="30">
        <f t="shared" si="55"/>
        <v>31.678923766816141</v>
      </c>
      <c r="W22" s="30">
        <f t="shared" si="54"/>
        <v>31.678923766816141</v>
      </c>
      <c r="X22" s="30">
        <f t="shared" si="55"/>
        <v>32.407174887892374</v>
      </c>
      <c r="Y22" s="30">
        <f t="shared" si="54"/>
        <v>32.407174887892374</v>
      </c>
      <c r="Z22" s="30">
        <f t="shared" si="55"/>
        <v>32.771300448430495</v>
      </c>
      <c r="AA22" s="30">
        <f t="shared" ref="AA22:AO36" si="58">(Z23+Z21)/2</f>
        <v>32.771300448430495</v>
      </c>
      <c r="AB22" s="30">
        <f t="shared" ref="AB22:AP24" si="59">AA22+AB$4</f>
        <v>33.408520179372196</v>
      </c>
      <c r="AC22" s="30">
        <f t="shared" si="58"/>
        <v>33.408520179372196</v>
      </c>
      <c r="AD22" s="30">
        <f t="shared" si="59"/>
        <v>34.227802690582962</v>
      </c>
      <c r="AE22" s="30">
        <f t="shared" si="58"/>
        <v>34.227802690582962</v>
      </c>
      <c r="AF22" s="30">
        <f t="shared" si="59"/>
        <v>35.502242152466366</v>
      </c>
      <c r="AG22" s="30">
        <f t="shared" si="58"/>
        <v>35.502242152466366</v>
      </c>
      <c r="AH22" s="30">
        <f t="shared" si="59"/>
        <v>36.412556053811656</v>
      </c>
      <c r="AI22" s="30">
        <f t="shared" si="58"/>
        <v>36.412556053811656</v>
      </c>
      <c r="AJ22" s="30">
        <f t="shared" si="59"/>
        <v>36.95874439461884</v>
      </c>
      <c r="AK22" s="30">
        <f t="shared" si="58"/>
        <v>36.95874439461884</v>
      </c>
      <c r="AL22" s="30">
        <f t="shared" si="59"/>
        <v>37.322869955156953</v>
      </c>
      <c r="AM22" s="30">
        <f t="shared" si="58"/>
        <v>37.322744942566743</v>
      </c>
      <c r="AN22" s="30">
        <f t="shared" si="59"/>
        <v>37.86893328337392</v>
      </c>
      <c r="AO22" s="30">
        <f t="shared" si="58"/>
        <v>37.86890550279832</v>
      </c>
      <c r="AP22" s="30">
        <f t="shared" si="59"/>
        <v>38.05096828306737</v>
      </c>
      <c r="AQ22" s="30">
        <f t="shared" ref="AQ22:BE36" si="60">(AP23+AP21)/2</f>
        <v>38.050406420925803</v>
      </c>
      <c r="AR22" s="30">
        <f t="shared" ref="AR22:BF24" si="61">AQ22+AR$4</f>
        <v>38.232469201194867</v>
      </c>
      <c r="AS22" s="30">
        <f t="shared" si="60"/>
        <v>38.2323414105471</v>
      </c>
      <c r="AT22" s="30">
        <f t="shared" si="61"/>
        <v>38.778529751354277</v>
      </c>
      <c r="AU22" s="30">
        <f t="shared" si="60"/>
        <v>38.777059117133305</v>
      </c>
      <c r="AV22" s="30">
        <f t="shared" si="61"/>
        <v>39.050153287536887</v>
      </c>
      <c r="AW22" s="30">
        <f t="shared" si="60"/>
        <v>39.049802340734168</v>
      </c>
      <c r="AX22" s="30">
        <f t="shared" si="61"/>
        <v>39.322896511137756</v>
      </c>
      <c r="AY22" s="30">
        <f t="shared" si="60"/>
        <v>39.319950250873646</v>
      </c>
      <c r="AZ22" s="30">
        <f t="shared" si="61"/>
        <v>39.502013031142702</v>
      </c>
      <c r="BA22" s="30">
        <f t="shared" si="60"/>
        <v>39.501271615327738</v>
      </c>
      <c r="BB22" s="30">
        <f t="shared" si="61"/>
        <v>39.683334395596802</v>
      </c>
      <c r="BC22" s="30">
        <f t="shared" si="60"/>
        <v>39.678319220371847</v>
      </c>
      <c r="BD22" s="30">
        <f t="shared" si="61"/>
        <v>39.860382000640904</v>
      </c>
      <c r="BE22" s="30">
        <f t="shared" si="60"/>
        <v>39.859051270375339</v>
      </c>
      <c r="BF22" s="30">
        <f t="shared" si="61"/>
        <v>39.950082660509864</v>
      </c>
      <c r="BG22" s="30">
        <f t="shared" ref="AA22:BG37" si="62">(BF23+BF21)/2</f>
        <v>39.942435840039501</v>
      </c>
      <c r="BH22" s="30">
        <f t="shared" ref="N22:BH24" si="63">BG22+BH$4</f>
        <v>40.033467230174033</v>
      </c>
    </row>
    <row r="23" spans="2:60" x14ac:dyDescent="0.3">
      <c r="B23" s="23"/>
      <c r="C23" s="27"/>
      <c r="D23" s="25">
        <f t="shared" si="52"/>
        <v>4.3999999999999968</v>
      </c>
      <c r="E23" s="28">
        <v>0</v>
      </c>
      <c r="F23" s="29">
        <f t="shared" si="1"/>
        <v>16.385650224215247</v>
      </c>
      <c r="G23" s="5">
        <f t="shared" si="53"/>
        <v>16.385650224215247</v>
      </c>
      <c r="H23" s="29">
        <f t="shared" si="56"/>
        <v>20.026905829596412</v>
      </c>
      <c r="I23" s="28">
        <f t="shared" si="2"/>
        <v>20.026905829596412</v>
      </c>
      <c r="J23" s="30">
        <f t="shared" si="57"/>
        <v>24.032286995515694</v>
      </c>
      <c r="K23" s="30">
        <f t="shared" si="54"/>
        <v>24.032286995515694</v>
      </c>
      <c r="L23" s="30">
        <f t="shared" ref="L23:L24" si="64">K23+L$4</f>
        <v>25.306726457399105</v>
      </c>
      <c r="M23" s="30">
        <f t="shared" si="54"/>
        <v>25.306726457399105</v>
      </c>
      <c r="N23" s="30">
        <f t="shared" si="63"/>
        <v>26.945291479820629</v>
      </c>
      <c r="O23" s="30">
        <f t="shared" si="54"/>
        <v>26.945291479820629</v>
      </c>
      <c r="P23" s="30">
        <f t="shared" si="63"/>
        <v>28.583856502242153</v>
      </c>
      <c r="Q23" s="30">
        <f t="shared" si="54"/>
        <v>28.583856502242153</v>
      </c>
      <c r="R23" s="30">
        <f t="shared" si="63"/>
        <v>30.04035874439462</v>
      </c>
      <c r="S23" s="30">
        <f t="shared" si="54"/>
        <v>30.04035874439462</v>
      </c>
      <c r="T23" s="30">
        <f t="shared" si="63"/>
        <v>30.76860986547085</v>
      </c>
      <c r="U23" s="30">
        <f t="shared" si="54"/>
        <v>30.76860986547085</v>
      </c>
      <c r="V23" s="30">
        <f t="shared" si="63"/>
        <v>31.678923766816141</v>
      </c>
      <c r="W23" s="30">
        <f t="shared" si="54"/>
        <v>31.678923766816141</v>
      </c>
      <c r="X23" s="30">
        <f t="shared" si="63"/>
        <v>32.407174887892374</v>
      </c>
      <c r="Y23" s="30">
        <f t="shared" si="54"/>
        <v>32.407174887892374</v>
      </c>
      <c r="Z23" s="30">
        <f t="shared" si="63"/>
        <v>32.771300448430495</v>
      </c>
      <c r="AA23" s="30">
        <f t="shared" si="62"/>
        <v>32.771300448430495</v>
      </c>
      <c r="AB23" s="30">
        <f t="shared" si="63"/>
        <v>33.408520179372196</v>
      </c>
      <c r="AC23" s="30">
        <f t="shared" si="62"/>
        <v>33.408520179372196</v>
      </c>
      <c r="AD23" s="30">
        <f t="shared" si="63"/>
        <v>34.227802690582962</v>
      </c>
      <c r="AE23" s="30">
        <f t="shared" si="62"/>
        <v>34.227802690582962</v>
      </c>
      <c r="AF23" s="30">
        <f t="shared" si="63"/>
        <v>35.502242152466366</v>
      </c>
      <c r="AG23" s="30">
        <f t="shared" si="62"/>
        <v>35.502242152466366</v>
      </c>
      <c r="AH23" s="30">
        <f t="shared" si="63"/>
        <v>36.412556053811656</v>
      </c>
      <c r="AI23" s="30">
        <f t="shared" si="62"/>
        <v>36.412556053811656</v>
      </c>
      <c r="AJ23" s="30">
        <f t="shared" si="63"/>
        <v>36.95874439461884</v>
      </c>
      <c r="AK23" s="30">
        <f t="shared" si="62"/>
        <v>36.95874439461884</v>
      </c>
      <c r="AL23" s="30">
        <f t="shared" si="63"/>
        <v>37.322869955156953</v>
      </c>
      <c r="AM23" s="30">
        <f t="shared" si="62"/>
        <v>37.32286995515696</v>
      </c>
      <c r="AN23" s="30">
        <f t="shared" si="63"/>
        <v>37.869058295964138</v>
      </c>
      <c r="AO23" s="30">
        <f t="shared" si="62"/>
        <v>37.868995789669029</v>
      </c>
      <c r="AP23" s="30">
        <f t="shared" si="63"/>
        <v>38.051058569938078</v>
      </c>
      <c r="AQ23" s="30">
        <f t="shared" si="62"/>
        <v>38.051044679650275</v>
      </c>
      <c r="AR23" s="30">
        <f t="shared" si="63"/>
        <v>38.233107459919339</v>
      </c>
      <c r="AS23" s="30">
        <f t="shared" si="62"/>
        <v>38.232810902274778</v>
      </c>
      <c r="AT23" s="30">
        <f t="shared" si="63"/>
        <v>38.778999243081955</v>
      </c>
      <c r="AU23" s="30">
        <f t="shared" si="62"/>
        <v>38.778927968542675</v>
      </c>
      <c r="AV23" s="30">
        <f t="shared" si="63"/>
        <v>39.052022138946256</v>
      </c>
      <c r="AW23" s="30">
        <f t="shared" si="62"/>
        <v>39.051207907638201</v>
      </c>
      <c r="AX23" s="30">
        <f t="shared" si="63"/>
        <v>39.324302078041789</v>
      </c>
      <c r="AY23" s="30">
        <f t="shared" si="62"/>
        <v>39.324088406348977</v>
      </c>
      <c r="AZ23" s="30">
        <f t="shared" si="63"/>
        <v>39.506151186618034</v>
      </c>
      <c r="BA23" s="30">
        <f t="shared" si="62"/>
        <v>39.504449582955225</v>
      </c>
      <c r="BB23" s="30">
        <f t="shared" si="63"/>
        <v>39.686512363224288</v>
      </c>
      <c r="BC23" s="30">
        <f t="shared" si="62"/>
        <v>39.686027635587173</v>
      </c>
      <c r="BD23" s="30">
        <f t="shared" si="63"/>
        <v>39.86809041585623</v>
      </c>
      <c r="BE23" s="30">
        <f t="shared" si="62"/>
        <v>39.865082929807926</v>
      </c>
      <c r="BF23" s="30">
        <f t="shared" si="63"/>
        <v>39.956114319942451</v>
      </c>
      <c r="BG23" s="30">
        <f t="shared" si="62"/>
        <v>39.955192006188923</v>
      </c>
      <c r="BH23" s="30">
        <f t="shared" si="63"/>
        <v>40.046223396323455</v>
      </c>
    </row>
    <row r="24" spans="2:60" x14ac:dyDescent="0.3">
      <c r="B24" s="23"/>
      <c r="C24" s="27"/>
      <c r="D24" s="25">
        <f t="shared" si="52"/>
        <v>4.1999999999999966</v>
      </c>
      <c r="E24" s="28">
        <v>0</v>
      </c>
      <c r="F24" s="29">
        <f t="shared" si="1"/>
        <v>16.385650224215247</v>
      </c>
      <c r="G24" s="5">
        <f t="shared" si="53"/>
        <v>16.385650224215247</v>
      </c>
      <c r="H24" s="29">
        <f t="shared" si="56"/>
        <v>20.026905829596412</v>
      </c>
      <c r="I24" s="28">
        <f t="shared" si="2"/>
        <v>20.026905829596412</v>
      </c>
      <c r="J24" s="30">
        <f t="shared" si="57"/>
        <v>24.032286995515694</v>
      </c>
      <c r="K24" s="30">
        <f t="shared" si="54"/>
        <v>24.032286995515694</v>
      </c>
      <c r="L24" s="30">
        <f t="shared" si="64"/>
        <v>25.306726457399105</v>
      </c>
      <c r="M24" s="30">
        <f t="shared" si="54"/>
        <v>25.306726457399105</v>
      </c>
      <c r="N24" s="30">
        <f t="shared" si="63"/>
        <v>26.945291479820629</v>
      </c>
      <c r="O24" s="30">
        <f t="shared" si="54"/>
        <v>26.945291479820629</v>
      </c>
      <c r="P24" s="30">
        <f t="shared" si="63"/>
        <v>28.583856502242153</v>
      </c>
      <c r="Q24" s="30">
        <f t="shared" si="54"/>
        <v>28.583856502242153</v>
      </c>
      <c r="R24" s="30">
        <f t="shared" si="63"/>
        <v>30.04035874439462</v>
      </c>
      <c r="S24" s="30">
        <f t="shared" si="54"/>
        <v>30.04035874439462</v>
      </c>
      <c r="T24" s="30">
        <f t="shared" si="63"/>
        <v>30.76860986547085</v>
      </c>
      <c r="U24" s="30">
        <f t="shared" si="54"/>
        <v>30.76860986547085</v>
      </c>
      <c r="V24" s="30">
        <f t="shared" si="63"/>
        <v>31.678923766816141</v>
      </c>
      <c r="W24" s="30">
        <f t="shared" si="54"/>
        <v>31.678923766816141</v>
      </c>
      <c r="X24" s="30">
        <f t="shared" si="63"/>
        <v>32.407174887892374</v>
      </c>
      <c r="Y24" s="30">
        <f t="shared" si="54"/>
        <v>32.407174887892367</v>
      </c>
      <c r="Z24" s="30">
        <f t="shared" si="63"/>
        <v>32.771300448430488</v>
      </c>
      <c r="AA24" s="30">
        <f t="shared" si="62"/>
        <v>32.771300448430495</v>
      </c>
      <c r="AB24" s="30">
        <f t="shared" si="63"/>
        <v>33.408520179372196</v>
      </c>
      <c r="AC24" s="30">
        <f t="shared" si="62"/>
        <v>33.408520179372189</v>
      </c>
      <c r="AD24" s="30">
        <f t="shared" si="63"/>
        <v>34.227802690582955</v>
      </c>
      <c r="AE24" s="30">
        <f t="shared" si="62"/>
        <v>34.227802690582962</v>
      </c>
      <c r="AF24" s="30">
        <f t="shared" si="63"/>
        <v>35.502242152466366</v>
      </c>
      <c r="AG24" s="30">
        <f t="shared" si="62"/>
        <v>35.502242152466366</v>
      </c>
      <c r="AH24" s="30">
        <f t="shared" si="63"/>
        <v>36.412556053811656</v>
      </c>
      <c r="AI24" s="30">
        <f t="shared" si="62"/>
        <v>36.412556053811656</v>
      </c>
      <c r="AJ24" s="30">
        <f t="shared" si="63"/>
        <v>36.95874439461884</v>
      </c>
      <c r="AK24" s="30">
        <f t="shared" si="62"/>
        <v>36.958744394618847</v>
      </c>
      <c r="AL24" s="30">
        <f t="shared" si="63"/>
        <v>37.32286995515696</v>
      </c>
      <c r="AM24" s="30">
        <f t="shared" si="62"/>
        <v>37.322869955156953</v>
      </c>
      <c r="AN24" s="30">
        <f t="shared" si="63"/>
        <v>37.86905829596413</v>
      </c>
      <c r="AO24" s="30">
        <f t="shared" si="62"/>
        <v>37.869058295964138</v>
      </c>
      <c r="AP24" s="30">
        <f t="shared" si="63"/>
        <v>38.051121076233187</v>
      </c>
      <c r="AQ24" s="30">
        <f t="shared" si="62"/>
        <v>38.051089823085633</v>
      </c>
      <c r="AR24" s="30">
        <f t="shared" si="63"/>
        <v>38.233152603354696</v>
      </c>
      <c r="AS24" s="30">
        <f t="shared" si="62"/>
        <v>38.233137844923903</v>
      </c>
      <c r="AT24" s="30">
        <f t="shared" si="63"/>
        <v>38.77932618573108</v>
      </c>
      <c r="AU24" s="30">
        <f t="shared" si="62"/>
        <v>38.779168357335934</v>
      </c>
      <c r="AV24" s="30">
        <f t="shared" si="63"/>
        <v>39.052262527739515</v>
      </c>
      <c r="AW24" s="30">
        <f t="shared" si="62"/>
        <v>39.052186131156617</v>
      </c>
      <c r="AX24" s="30">
        <f t="shared" si="63"/>
        <v>39.325280301560205</v>
      </c>
      <c r="AY24" s="30">
        <f t="shared" si="62"/>
        <v>39.32482335449869</v>
      </c>
      <c r="AZ24" s="30">
        <f t="shared" si="63"/>
        <v>39.506886134767747</v>
      </c>
      <c r="BA24" s="30">
        <f t="shared" si="62"/>
        <v>39.506658095308481</v>
      </c>
      <c r="BB24" s="30">
        <f t="shared" si="63"/>
        <v>39.688720875577545</v>
      </c>
      <c r="BC24" s="30">
        <f t="shared" si="62"/>
        <v>39.687721078705898</v>
      </c>
      <c r="BD24" s="30">
        <f t="shared" si="63"/>
        <v>39.869783858974955</v>
      </c>
      <c r="BE24" s="30">
        <f t="shared" si="62"/>
        <v>39.869269961733458</v>
      </c>
      <c r="BF24" s="30">
        <f t="shared" si="63"/>
        <v>39.960301351867983</v>
      </c>
      <c r="BG24" s="30">
        <f t="shared" si="62"/>
        <v>39.958461968487157</v>
      </c>
      <c r="BH24" s="30">
        <f t="shared" si="63"/>
        <v>40.049493358621689</v>
      </c>
    </row>
    <row r="25" spans="2:60" x14ac:dyDescent="0.3">
      <c r="B25" s="23"/>
      <c r="C25" s="27"/>
      <c r="D25" s="31">
        <f t="shared" si="52"/>
        <v>3.9999999999999964</v>
      </c>
      <c r="E25" s="28">
        <v>0</v>
      </c>
      <c r="F25" s="29">
        <f t="shared" si="1"/>
        <v>16.385650224215247</v>
      </c>
      <c r="G25" s="5">
        <f t="shared" si="53"/>
        <v>16.385650224215247</v>
      </c>
      <c r="H25" s="29">
        <f t="shared" si="56"/>
        <v>20.026905829596412</v>
      </c>
      <c r="I25" s="28">
        <f t="shared" si="2"/>
        <v>20.026905829596412</v>
      </c>
      <c r="J25" s="30">
        <f t="shared" si="57"/>
        <v>24.032286995515694</v>
      </c>
      <c r="K25" s="30">
        <f t="shared" si="54"/>
        <v>24.032286995515694</v>
      </c>
      <c r="L25" s="32">
        <f>K25+L$3/2+L$4/2</f>
        <v>25.306726457399105</v>
      </c>
      <c r="M25" s="30">
        <f t="shared" si="54"/>
        <v>25.306726457399105</v>
      </c>
      <c r="N25" s="32">
        <f t="shared" ref="N25" si="65">M25+N$3/2+N$4/2</f>
        <v>26.945291479820629</v>
      </c>
      <c r="O25" s="30">
        <f t="shared" si="54"/>
        <v>26.945291479820629</v>
      </c>
      <c r="P25" s="32">
        <f t="shared" ref="P25" si="66">O25+P$3/2+P$4/2</f>
        <v>28.583856502242153</v>
      </c>
      <c r="Q25" s="30">
        <f t="shared" si="54"/>
        <v>28.583856502242153</v>
      </c>
      <c r="R25" s="32">
        <f t="shared" ref="R25" si="67">Q25+R$3/2+R$4/2</f>
        <v>30.04035874439462</v>
      </c>
      <c r="S25" s="30">
        <f t="shared" si="54"/>
        <v>30.04035874439462</v>
      </c>
      <c r="T25" s="32">
        <f t="shared" ref="T25" si="68">S25+T$3/2+T$4/2</f>
        <v>30.76860986547085</v>
      </c>
      <c r="U25" s="30">
        <f t="shared" si="54"/>
        <v>30.76860986547085</v>
      </c>
      <c r="V25" s="32">
        <f t="shared" ref="V25" si="69">U25+V$3/2+V$4/2</f>
        <v>31.678923766816141</v>
      </c>
      <c r="W25" s="30">
        <f t="shared" si="54"/>
        <v>31.678923766816141</v>
      </c>
      <c r="X25" s="32">
        <f t="shared" ref="X25" si="70">W25+X$3/2+X$4/2</f>
        <v>32.407174887892367</v>
      </c>
      <c r="Y25" s="30">
        <f t="shared" si="54"/>
        <v>32.407174887892374</v>
      </c>
      <c r="Z25" s="32">
        <f t="shared" ref="Z25" si="71">Y25+Z$3/2+Z$4/2</f>
        <v>32.771300448430495</v>
      </c>
      <c r="AA25" s="30">
        <f t="shared" si="62"/>
        <v>32.771300448430488</v>
      </c>
      <c r="AB25" s="32">
        <f t="shared" ref="AB25" si="72">AA25+AB$3/2+AB$4/2</f>
        <v>33.408520179372189</v>
      </c>
      <c r="AC25" s="30">
        <f t="shared" si="62"/>
        <v>33.408520179372196</v>
      </c>
      <c r="AD25" s="32">
        <f t="shared" ref="AD25" si="73">AC25+AD$3/2+AD$4/2</f>
        <v>34.227802690582962</v>
      </c>
      <c r="AE25" s="30">
        <f t="shared" si="62"/>
        <v>34.227802690582955</v>
      </c>
      <c r="AF25" s="32">
        <f t="shared" ref="AF25" si="74">AE25+AF$3/2+AF$4/2</f>
        <v>35.502242152466359</v>
      </c>
      <c r="AG25" s="30">
        <f t="shared" si="62"/>
        <v>35.502242152466366</v>
      </c>
      <c r="AH25" s="32">
        <f t="shared" ref="AH25" si="75">AG25+AH$3/2+AH$4/2</f>
        <v>36.412556053811656</v>
      </c>
      <c r="AI25" s="30">
        <f t="shared" si="62"/>
        <v>36.412556053811656</v>
      </c>
      <c r="AJ25" s="32">
        <f t="shared" ref="AJ25" si="76">AI25+AJ$3/2+AJ$4/2</f>
        <v>36.958744394618847</v>
      </c>
      <c r="AK25" s="30">
        <f t="shared" si="62"/>
        <v>36.95874439461884</v>
      </c>
      <c r="AL25" s="32">
        <f t="shared" ref="AL25" si="77">AK25+AL$3/2+AL$4/2</f>
        <v>37.322869955156953</v>
      </c>
      <c r="AM25" s="30">
        <f t="shared" si="62"/>
        <v>37.32286995515696</v>
      </c>
      <c r="AN25" s="32">
        <f t="shared" ref="AN25" si="78">AM25+AN$3/2+AN$4/2</f>
        <v>37.869058295964138</v>
      </c>
      <c r="AO25" s="30">
        <f t="shared" si="62"/>
        <v>37.86905829596413</v>
      </c>
      <c r="AP25" s="32">
        <f t="shared" ref="AP25" si="79">AO25+AP$3/2+AP$4/2</f>
        <v>38.05112107623318</v>
      </c>
      <c r="AQ25" s="30">
        <f t="shared" si="62"/>
        <v>38.05110544965941</v>
      </c>
      <c r="AR25" s="32">
        <f t="shared" ref="AR25" si="80">AQ25+AR$3/2+AR$4/2</f>
        <v>38.233168229928474</v>
      </c>
      <c r="AS25" s="30">
        <f t="shared" si="62"/>
        <v>38.233149130782742</v>
      </c>
      <c r="AT25" s="32">
        <f t="shared" ref="AT25" si="81">AS25+AT$3/2+AT$4/2</f>
        <v>38.779337471589919</v>
      </c>
      <c r="AU25" s="30">
        <f t="shared" si="62"/>
        <v>38.779255952963389</v>
      </c>
      <c r="AV25" s="32">
        <f t="shared" ref="AV25" si="82">AU25+AV$3/2+AV$4/2</f>
        <v>39.052350123366971</v>
      </c>
      <c r="AW25" s="30">
        <f t="shared" si="62"/>
        <v>39.052250460551988</v>
      </c>
      <c r="AX25" s="32">
        <f t="shared" ref="AX25" si="83">AW25+AX$3/2+AX$4/2</f>
        <v>39.325344630955584</v>
      </c>
      <c r="AY25" s="30">
        <f t="shared" si="62"/>
        <v>39.325102223729878</v>
      </c>
      <c r="AZ25" s="32">
        <f t="shared" ref="AZ25" si="84">AY25+AZ$3/2+AZ$4/2</f>
        <v>39.507165003998935</v>
      </c>
      <c r="BA25" s="30">
        <f t="shared" si="62"/>
        <v>39.506867013918445</v>
      </c>
      <c r="BB25" s="32">
        <f t="shared" ref="BB25" si="85">BA25+BB$3/2+BB$4/2</f>
        <v>39.688929794187509</v>
      </c>
      <c r="BC25" s="30">
        <f t="shared" si="62"/>
        <v>39.68838672734163</v>
      </c>
      <c r="BD25" s="32">
        <f t="shared" ref="BD25" si="86">BC25+BD$3/2+BD$4/2</f>
        <v>39.870449507610687</v>
      </c>
      <c r="BE25" s="30">
        <f t="shared" si="62"/>
        <v>39.869778226897324</v>
      </c>
      <c r="BF25" s="32">
        <f t="shared" ref="BF25" si="87">BE25+BF$3/2+BF$4/2</f>
        <v>39.960809617031856</v>
      </c>
      <c r="BG25" s="30">
        <f t="shared" si="62"/>
        <v>39.959789052552168</v>
      </c>
      <c r="BH25" s="32">
        <f t="shared" ref="BH25" si="88">BG25+BH$3/2+BH$4/2</f>
        <v>40.0508204426867</v>
      </c>
    </row>
    <row r="26" spans="2:60" x14ac:dyDescent="0.3">
      <c r="B26" s="23"/>
      <c r="C26" s="27"/>
      <c r="D26" s="31">
        <f t="shared" si="52"/>
        <v>3.7999999999999963</v>
      </c>
      <c r="E26" s="28">
        <v>0</v>
      </c>
      <c r="F26" s="29">
        <f>$F$3</f>
        <v>16.385650224215247</v>
      </c>
      <c r="G26" s="5">
        <f>(F25+F27)/2</f>
        <v>16.385650224215247</v>
      </c>
      <c r="H26" s="29">
        <f>G26+H$3</f>
        <v>20.026905829596412</v>
      </c>
      <c r="I26" s="28">
        <f t="shared" si="2"/>
        <v>20.026905829596412</v>
      </c>
      <c r="J26" s="29">
        <f>I26+J$3</f>
        <v>24.032286995515694</v>
      </c>
      <c r="K26" s="30">
        <f t="shared" si="54"/>
        <v>24.032286995515694</v>
      </c>
      <c r="L26" s="29">
        <f>K26+L$3</f>
        <v>25.306726457399105</v>
      </c>
      <c r="M26" s="30">
        <f t="shared" si="54"/>
        <v>25.306726457399105</v>
      </c>
      <c r="N26" s="29">
        <f t="shared" ref="N26" si="89">M26+N$3</f>
        <v>26.945291479820629</v>
      </c>
      <c r="O26" s="30">
        <f t="shared" si="54"/>
        <v>26.945291479820629</v>
      </c>
      <c r="P26" s="29">
        <f t="shared" ref="P26" si="90">O26+P$3</f>
        <v>28.583856502242153</v>
      </c>
      <c r="Q26" s="30">
        <f t="shared" si="54"/>
        <v>28.583856502242153</v>
      </c>
      <c r="R26" s="29">
        <f t="shared" ref="R26" si="91">Q26+R$3</f>
        <v>30.04035874439462</v>
      </c>
      <c r="S26" s="30">
        <f t="shared" si="54"/>
        <v>30.04035874439462</v>
      </c>
      <c r="T26" s="29">
        <f t="shared" ref="T26" si="92">S26+T$3</f>
        <v>30.76860986547085</v>
      </c>
      <c r="U26" s="30">
        <f t="shared" si="54"/>
        <v>30.76860986547085</v>
      </c>
      <c r="V26" s="29">
        <f t="shared" ref="V26" si="93">U26+V$3</f>
        <v>31.678923766816141</v>
      </c>
      <c r="W26" s="30">
        <f t="shared" si="54"/>
        <v>31.678923766816141</v>
      </c>
      <c r="X26" s="29">
        <f t="shared" ref="X26" si="94">W26+X$3</f>
        <v>32.407174887892374</v>
      </c>
      <c r="Y26" s="30">
        <f t="shared" si="54"/>
        <v>32.407174887892367</v>
      </c>
      <c r="Z26" s="29">
        <f t="shared" ref="Z26" si="95">Y26+Z$3</f>
        <v>32.771300448430488</v>
      </c>
      <c r="AA26" s="30">
        <f t="shared" si="62"/>
        <v>32.771300448430495</v>
      </c>
      <c r="AB26" s="29">
        <f t="shared" ref="AB26:AP41" si="96">AA26+AB$3</f>
        <v>33.408520179372196</v>
      </c>
      <c r="AC26" s="30">
        <f t="shared" si="62"/>
        <v>33.408520179372189</v>
      </c>
      <c r="AD26" s="29">
        <f t="shared" ref="AD26" si="97">AC26+AD$3</f>
        <v>34.227802690582955</v>
      </c>
      <c r="AE26" s="30">
        <f t="shared" si="62"/>
        <v>34.227802690582962</v>
      </c>
      <c r="AF26" s="29">
        <f t="shared" ref="AF26" si="98">AE26+AF$3</f>
        <v>35.502242152466366</v>
      </c>
      <c r="AG26" s="30">
        <f t="shared" si="62"/>
        <v>35.502242152466366</v>
      </c>
      <c r="AH26" s="29">
        <f t="shared" ref="AH26" si="99">AG26+AH$3</f>
        <v>36.412556053811656</v>
      </c>
      <c r="AI26" s="30">
        <f t="shared" si="62"/>
        <v>36.412556053811656</v>
      </c>
      <c r="AJ26" s="29">
        <f t="shared" ref="AJ26" si="100">AI26+AJ$3</f>
        <v>36.95874439461884</v>
      </c>
      <c r="AK26" s="30">
        <f t="shared" si="62"/>
        <v>36.958744394618847</v>
      </c>
      <c r="AL26" s="29">
        <f t="shared" ref="AL26" si="101">AK26+AL$3</f>
        <v>37.32286995515696</v>
      </c>
      <c r="AM26" s="30">
        <f t="shared" si="62"/>
        <v>37.322869955156953</v>
      </c>
      <c r="AN26" s="29">
        <f t="shared" ref="AN26" si="102">AM26+AN$3</f>
        <v>37.86905829596413</v>
      </c>
      <c r="AO26" s="30">
        <f t="shared" si="62"/>
        <v>37.869027042816583</v>
      </c>
      <c r="AP26" s="29">
        <f t="shared" ref="AP26" si="103">AO26+AP$3</f>
        <v>38.051089823085633</v>
      </c>
      <c r="AQ26" s="30">
        <f t="shared" si="62"/>
        <v>38.051082877941724</v>
      </c>
      <c r="AR26" s="29">
        <f t="shared" ref="AR26:BF27" si="104">AQ26+AR$3</f>
        <v>38.233145658210788</v>
      </c>
      <c r="AS26" s="30">
        <f t="shared" si="62"/>
        <v>38.232997379388522</v>
      </c>
      <c r="AT26" s="29">
        <f t="shared" ref="AT26" si="105">AS26+AT$3</f>
        <v>38.779185720195699</v>
      </c>
      <c r="AU26" s="30">
        <f t="shared" si="62"/>
        <v>38.77914422296088</v>
      </c>
      <c r="AV26" s="29">
        <f t="shared" ref="AV26" si="106">AU26+AV$3</f>
        <v>39.052238393364462</v>
      </c>
      <c r="AW26" s="30">
        <f t="shared" si="62"/>
        <v>39.051829975495963</v>
      </c>
      <c r="AX26" s="29">
        <f t="shared" ref="AX26" si="107">AW26+AX$3</f>
        <v>39.324924145899551</v>
      </c>
      <c r="AY26" s="30">
        <f t="shared" si="62"/>
        <v>39.324785112800086</v>
      </c>
      <c r="AZ26" s="29">
        <f t="shared" ref="AZ26" si="108">AY26+AZ$3</f>
        <v>39.506847893069143</v>
      </c>
      <c r="BA26" s="30">
        <f t="shared" si="62"/>
        <v>39.505989798836652</v>
      </c>
      <c r="BB26" s="29">
        <f t="shared" ref="BB26" si="109">BA26+BB$3</f>
        <v>39.688052579105715</v>
      </c>
      <c r="BC26" s="30">
        <f t="shared" si="62"/>
        <v>39.687709814550637</v>
      </c>
      <c r="BD26" s="29">
        <f t="shared" ref="BD26" si="110">BC26+BD$3</f>
        <v>39.869772594819693</v>
      </c>
      <c r="BE26" s="30">
        <f t="shared" si="62"/>
        <v>39.868245363101835</v>
      </c>
      <c r="BF26" s="29">
        <f t="shared" ref="BF26" si="111">BE26+BF$3</f>
        <v>39.95927675323636</v>
      </c>
      <c r="BG26" s="30">
        <f t="shared" si="62"/>
        <v>39.958581134676933</v>
      </c>
      <c r="BH26" s="29">
        <f t="shared" ref="AB26:BH41" si="112">BG26+BH$3</f>
        <v>40.049612524811465</v>
      </c>
    </row>
    <row r="27" spans="2:60" x14ac:dyDescent="0.3">
      <c r="B27" s="23"/>
      <c r="C27" s="27"/>
      <c r="D27" s="31">
        <f t="shared" si="52"/>
        <v>3.5999999999999961</v>
      </c>
      <c r="E27" s="28">
        <v>0</v>
      </c>
      <c r="F27" s="29">
        <f t="shared" ref="F27:F43" si="113">$F$3</f>
        <v>16.385650224215247</v>
      </c>
      <c r="G27" s="5">
        <f t="shared" ref="G27:G84" si="114">(F26+F28)/2</f>
        <v>16.385650224215247</v>
      </c>
      <c r="H27" s="29">
        <f t="shared" ref="H27:H41" si="115">G27+H$3</f>
        <v>20.026905829596412</v>
      </c>
      <c r="I27" s="28">
        <f t="shared" si="2"/>
        <v>20.026905829596412</v>
      </c>
      <c r="J27" s="29">
        <f t="shared" ref="J27:J43" si="116">I27+J$3</f>
        <v>24.032286995515694</v>
      </c>
      <c r="K27" s="30">
        <f t="shared" si="54"/>
        <v>24.032286995515694</v>
      </c>
      <c r="L27" s="29">
        <f t="shared" ref="L27:Z42" si="117">K27+L$3</f>
        <v>25.306726457399105</v>
      </c>
      <c r="M27" s="30">
        <f t="shared" si="54"/>
        <v>25.306726457399105</v>
      </c>
      <c r="N27" s="29">
        <f t="shared" si="117"/>
        <v>26.945291479820629</v>
      </c>
      <c r="O27" s="30">
        <f t="shared" si="54"/>
        <v>26.945291479820629</v>
      </c>
      <c r="P27" s="29">
        <f t="shared" si="117"/>
        <v>28.583856502242153</v>
      </c>
      <c r="Q27" s="30">
        <f t="shared" si="54"/>
        <v>28.583856502242153</v>
      </c>
      <c r="R27" s="29">
        <f t="shared" si="117"/>
        <v>30.04035874439462</v>
      </c>
      <c r="S27" s="30">
        <f t="shared" si="54"/>
        <v>30.04035874439462</v>
      </c>
      <c r="T27" s="29">
        <f t="shared" si="117"/>
        <v>30.76860986547085</v>
      </c>
      <c r="U27" s="30">
        <f t="shared" si="54"/>
        <v>30.76860986547085</v>
      </c>
      <c r="V27" s="29">
        <f t="shared" si="117"/>
        <v>31.678923766816141</v>
      </c>
      <c r="W27" s="30">
        <f t="shared" si="54"/>
        <v>31.678923766816141</v>
      </c>
      <c r="X27" s="29">
        <f t="shared" si="117"/>
        <v>32.407174887892374</v>
      </c>
      <c r="Y27" s="30">
        <f t="shared" si="54"/>
        <v>32.407174887892374</v>
      </c>
      <c r="Z27" s="29">
        <f t="shared" si="117"/>
        <v>32.771300448430495</v>
      </c>
      <c r="AA27" s="30">
        <f t="shared" si="62"/>
        <v>32.771300448430495</v>
      </c>
      <c r="AB27" s="29">
        <f t="shared" si="96"/>
        <v>33.408520179372196</v>
      </c>
      <c r="AC27" s="30">
        <f t="shared" si="62"/>
        <v>33.408520179372196</v>
      </c>
      <c r="AD27" s="29">
        <f t="shared" si="96"/>
        <v>34.227802690582962</v>
      </c>
      <c r="AE27" s="30">
        <f t="shared" si="62"/>
        <v>34.227802690582962</v>
      </c>
      <c r="AF27" s="29">
        <f t="shared" si="96"/>
        <v>35.502242152466366</v>
      </c>
      <c r="AG27" s="30">
        <f t="shared" si="62"/>
        <v>35.502242152466366</v>
      </c>
      <c r="AH27" s="29">
        <f t="shared" si="96"/>
        <v>36.412556053811656</v>
      </c>
      <c r="AI27" s="30">
        <f t="shared" si="62"/>
        <v>36.412556053811656</v>
      </c>
      <c r="AJ27" s="29">
        <f t="shared" si="96"/>
        <v>36.95874439461884</v>
      </c>
      <c r="AK27" s="30">
        <f t="shared" si="62"/>
        <v>36.95874439461884</v>
      </c>
      <c r="AL27" s="29">
        <f t="shared" si="96"/>
        <v>37.322869955156953</v>
      </c>
      <c r="AM27" s="30">
        <f t="shared" si="62"/>
        <v>37.322807448861852</v>
      </c>
      <c r="AN27" s="29">
        <f t="shared" si="96"/>
        <v>37.868995789669029</v>
      </c>
      <c r="AO27" s="30">
        <f t="shared" si="62"/>
        <v>37.868981899381225</v>
      </c>
      <c r="AP27" s="29">
        <f t="shared" si="96"/>
        <v>38.051044679650275</v>
      </c>
      <c r="AQ27" s="30">
        <f t="shared" si="62"/>
        <v>38.050763748579499</v>
      </c>
      <c r="AR27" s="29">
        <f t="shared" si="104"/>
        <v>38.232826528848562</v>
      </c>
      <c r="AS27" s="30">
        <f t="shared" si="62"/>
        <v>38.232762633524672</v>
      </c>
      <c r="AT27" s="29">
        <f t="shared" si="104"/>
        <v>38.778950974331849</v>
      </c>
      <c r="AU27" s="30">
        <f t="shared" si="62"/>
        <v>38.778215657221374</v>
      </c>
      <c r="AV27" s="29">
        <f t="shared" si="104"/>
        <v>39.051309827624955</v>
      </c>
      <c r="AW27" s="30">
        <f t="shared" si="62"/>
        <v>39.051131424240999</v>
      </c>
      <c r="AX27" s="29">
        <f t="shared" si="104"/>
        <v>39.324225594644588</v>
      </c>
      <c r="AY27" s="30">
        <f t="shared" si="62"/>
        <v>39.322751813405304</v>
      </c>
      <c r="AZ27" s="29">
        <f t="shared" si="104"/>
        <v>39.504814593674361</v>
      </c>
      <c r="BA27" s="30">
        <f t="shared" si="62"/>
        <v>39.504427054644701</v>
      </c>
      <c r="BB27" s="29">
        <f t="shared" si="104"/>
        <v>39.686489834913765</v>
      </c>
      <c r="BC27" s="30">
        <f t="shared" si="62"/>
        <v>39.683978438323933</v>
      </c>
      <c r="BD27" s="29">
        <f t="shared" si="104"/>
        <v>39.86604121859299</v>
      </c>
      <c r="BE27" s="30">
        <f t="shared" si="62"/>
        <v>39.865321262187493</v>
      </c>
      <c r="BF27" s="29">
        <f t="shared" si="104"/>
        <v>39.956352652322018</v>
      </c>
      <c r="BG27" s="30">
        <f t="shared" si="62"/>
        <v>39.952516504801444</v>
      </c>
      <c r="BH27" s="29">
        <f t="shared" si="112"/>
        <v>40.043547894935976</v>
      </c>
    </row>
    <row r="28" spans="2:60" x14ac:dyDescent="0.3">
      <c r="B28" s="23"/>
      <c r="C28" s="27"/>
      <c r="D28" s="31">
        <f t="shared" si="52"/>
        <v>3.3999999999999959</v>
      </c>
      <c r="E28" s="28">
        <v>0</v>
      </c>
      <c r="F28" s="29">
        <f t="shared" si="113"/>
        <v>16.385650224215247</v>
      </c>
      <c r="G28" s="5">
        <f t="shared" si="114"/>
        <v>16.385650224215247</v>
      </c>
      <c r="H28" s="29">
        <f t="shared" si="115"/>
        <v>20.026905829596412</v>
      </c>
      <c r="I28" s="28">
        <f t="shared" si="2"/>
        <v>20.026905829596412</v>
      </c>
      <c r="J28" s="29">
        <f t="shared" si="116"/>
        <v>24.032286995515694</v>
      </c>
      <c r="K28" s="30">
        <f t="shared" si="54"/>
        <v>24.032286995515694</v>
      </c>
      <c r="L28" s="29">
        <f>K28+L$3</f>
        <v>25.306726457399105</v>
      </c>
      <c r="M28" s="30">
        <f t="shared" si="54"/>
        <v>25.306726457399105</v>
      </c>
      <c r="N28" s="29">
        <f t="shared" si="117"/>
        <v>26.945291479820629</v>
      </c>
      <c r="O28" s="30">
        <f t="shared" si="54"/>
        <v>26.945291479820629</v>
      </c>
      <c r="P28" s="29">
        <f t="shared" si="117"/>
        <v>28.583856502242153</v>
      </c>
      <c r="Q28" s="30">
        <f t="shared" si="54"/>
        <v>28.583856502242153</v>
      </c>
      <c r="R28" s="29">
        <f t="shared" si="117"/>
        <v>30.04035874439462</v>
      </c>
      <c r="S28" s="30">
        <f t="shared" si="54"/>
        <v>30.04035874439462</v>
      </c>
      <c r="T28" s="29">
        <f t="shared" si="117"/>
        <v>30.76860986547085</v>
      </c>
      <c r="U28" s="30">
        <f t="shared" si="54"/>
        <v>30.76860986547085</v>
      </c>
      <c r="V28" s="29">
        <f t="shared" si="117"/>
        <v>31.678923766816141</v>
      </c>
      <c r="W28" s="30">
        <f t="shared" si="54"/>
        <v>31.678923766816141</v>
      </c>
      <c r="X28" s="29">
        <f t="shared" si="117"/>
        <v>32.407174887892374</v>
      </c>
      <c r="Y28" s="30">
        <f t="shared" si="54"/>
        <v>32.407174887892374</v>
      </c>
      <c r="Z28" s="29">
        <f t="shared" si="117"/>
        <v>32.771300448430495</v>
      </c>
      <c r="AA28" s="30">
        <f t="shared" si="62"/>
        <v>32.771300448430495</v>
      </c>
      <c r="AB28" s="29">
        <f t="shared" si="112"/>
        <v>33.408520179372196</v>
      </c>
      <c r="AC28" s="30">
        <f t="shared" si="62"/>
        <v>33.408520179372196</v>
      </c>
      <c r="AD28" s="29">
        <f t="shared" si="112"/>
        <v>34.227802690582962</v>
      </c>
      <c r="AE28" s="30">
        <f t="shared" si="62"/>
        <v>34.227802690582962</v>
      </c>
      <c r="AF28" s="29">
        <f t="shared" si="112"/>
        <v>35.502242152466366</v>
      </c>
      <c r="AG28" s="30">
        <f t="shared" si="62"/>
        <v>35.502242152466366</v>
      </c>
      <c r="AH28" s="29">
        <f t="shared" si="112"/>
        <v>36.412556053811656</v>
      </c>
      <c r="AI28" s="30">
        <f t="shared" si="62"/>
        <v>36.412556053811656</v>
      </c>
      <c r="AJ28" s="29">
        <f t="shared" si="112"/>
        <v>36.95874439461884</v>
      </c>
      <c r="AK28" s="30">
        <f t="shared" si="62"/>
        <v>36.95861938202863</v>
      </c>
      <c r="AL28" s="29">
        <f t="shared" si="112"/>
        <v>37.322744942566743</v>
      </c>
      <c r="AM28" s="30">
        <f t="shared" si="62"/>
        <v>37.322717161991136</v>
      </c>
      <c r="AN28" s="29">
        <f t="shared" si="112"/>
        <v>37.868905502798313</v>
      </c>
      <c r="AO28" s="30">
        <f t="shared" si="62"/>
        <v>37.868374893804308</v>
      </c>
      <c r="AP28" s="29">
        <f t="shared" si="112"/>
        <v>38.050437674073358</v>
      </c>
      <c r="AQ28" s="30">
        <f t="shared" si="62"/>
        <v>38.050316828569485</v>
      </c>
      <c r="AR28" s="29">
        <f t="shared" si="112"/>
        <v>38.232379608838549</v>
      </c>
      <c r="AS28" s="30">
        <f t="shared" si="62"/>
        <v>38.231057253439872</v>
      </c>
      <c r="AT28" s="29">
        <f t="shared" si="112"/>
        <v>38.777245594247049</v>
      </c>
      <c r="AU28" s="30">
        <f t="shared" si="62"/>
        <v>38.776930284713956</v>
      </c>
      <c r="AV28" s="29">
        <f t="shared" si="112"/>
        <v>39.050024455117537</v>
      </c>
      <c r="AW28" s="30">
        <f t="shared" si="62"/>
        <v>39.047485310507469</v>
      </c>
      <c r="AX28" s="29">
        <f t="shared" si="112"/>
        <v>39.320579480911057</v>
      </c>
      <c r="AY28" s="30">
        <f t="shared" si="62"/>
        <v>39.319943435951203</v>
      </c>
      <c r="AZ28" s="29">
        <f t="shared" si="112"/>
        <v>39.502006216220259</v>
      </c>
      <c r="BA28" s="30">
        <f t="shared" si="62"/>
        <v>39.497841517273088</v>
      </c>
      <c r="BB28" s="29">
        <f t="shared" si="112"/>
        <v>39.679904297542151</v>
      </c>
      <c r="BC28" s="30">
        <f t="shared" si="62"/>
        <v>39.678807149286229</v>
      </c>
      <c r="BD28" s="29">
        <f t="shared" si="112"/>
        <v>39.860869929555285</v>
      </c>
      <c r="BE28" s="30">
        <f t="shared" si="62"/>
        <v>39.854724866232004</v>
      </c>
      <c r="BF28" s="29">
        <f t="shared" si="112"/>
        <v>39.945756256366529</v>
      </c>
      <c r="BG28" s="30">
        <f t="shared" si="62"/>
        <v>39.944050911550029</v>
      </c>
      <c r="BH28" s="29">
        <f t="shared" si="112"/>
        <v>40.035082301684561</v>
      </c>
    </row>
    <row r="29" spans="2:60" x14ac:dyDescent="0.3">
      <c r="B29" s="23"/>
      <c r="C29" s="27"/>
      <c r="D29" s="31">
        <f t="shared" si="52"/>
        <v>3.1999999999999957</v>
      </c>
      <c r="E29" s="28">
        <v>0</v>
      </c>
      <c r="F29" s="29">
        <f t="shared" si="113"/>
        <v>16.385650224215247</v>
      </c>
      <c r="G29" s="5">
        <f t="shared" si="114"/>
        <v>16.385650224215247</v>
      </c>
      <c r="H29" s="29">
        <f t="shared" si="115"/>
        <v>20.026905829596412</v>
      </c>
      <c r="I29" s="28">
        <f t="shared" si="2"/>
        <v>20.026905829596412</v>
      </c>
      <c r="J29" s="29">
        <f t="shared" si="116"/>
        <v>24.032286995515694</v>
      </c>
      <c r="K29" s="30">
        <f t="shared" si="54"/>
        <v>24.032286995515694</v>
      </c>
      <c r="L29" s="29">
        <f t="shared" si="117"/>
        <v>25.306726457399105</v>
      </c>
      <c r="M29" s="30">
        <f t="shared" si="54"/>
        <v>25.306726457399105</v>
      </c>
      <c r="N29" s="29">
        <f t="shared" si="117"/>
        <v>26.945291479820629</v>
      </c>
      <c r="O29" s="30">
        <f t="shared" si="54"/>
        <v>26.945291479820629</v>
      </c>
      <c r="P29" s="29">
        <f t="shared" si="117"/>
        <v>28.583856502242153</v>
      </c>
      <c r="Q29" s="30">
        <f t="shared" si="54"/>
        <v>28.583856502242153</v>
      </c>
      <c r="R29" s="29">
        <f t="shared" si="117"/>
        <v>30.04035874439462</v>
      </c>
      <c r="S29" s="30">
        <f t="shared" si="54"/>
        <v>30.04035874439462</v>
      </c>
      <c r="T29" s="29">
        <f t="shared" si="117"/>
        <v>30.76860986547085</v>
      </c>
      <c r="U29" s="30">
        <f t="shared" si="54"/>
        <v>30.76860986547085</v>
      </c>
      <c r="V29" s="29">
        <f t="shared" si="117"/>
        <v>31.678923766816141</v>
      </c>
      <c r="W29" s="30">
        <f t="shared" si="54"/>
        <v>31.678923766816141</v>
      </c>
      <c r="X29" s="29">
        <f t="shared" si="117"/>
        <v>32.407174887892374</v>
      </c>
      <c r="Y29" s="30">
        <f t="shared" si="54"/>
        <v>32.407174887892374</v>
      </c>
      <c r="Z29" s="29">
        <f t="shared" si="117"/>
        <v>32.771300448430495</v>
      </c>
      <c r="AA29" s="30">
        <f t="shared" si="62"/>
        <v>32.771300448430495</v>
      </c>
      <c r="AB29" s="29">
        <f t="shared" si="112"/>
        <v>33.408520179372196</v>
      </c>
      <c r="AC29" s="30">
        <f t="shared" si="62"/>
        <v>33.408520179372196</v>
      </c>
      <c r="AD29" s="29">
        <f t="shared" si="112"/>
        <v>34.227802690582962</v>
      </c>
      <c r="AE29" s="30">
        <f t="shared" si="62"/>
        <v>34.227802690582962</v>
      </c>
      <c r="AF29" s="29">
        <f t="shared" si="112"/>
        <v>35.502242152466366</v>
      </c>
      <c r="AG29" s="30">
        <f t="shared" si="62"/>
        <v>35.502242152466366</v>
      </c>
      <c r="AH29" s="29">
        <f t="shared" si="112"/>
        <v>36.412556053811656</v>
      </c>
      <c r="AI29" s="30">
        <f t="shared" si="62"/>
        <v>36.412306028631235</v>
      </c>
      <c r="AJ29" s="29">
        <f t="shared" si="112"/>
        <v>36.958494369438419</v>
      </c>
      <c r="AK29" s="30">
        <f t="shared" si="62"/>
        <v>36.958438808287212</v>
      </c>
      <c r="AL29" s="29">
        <f t="shared" si="112"/>
        <v>37.322564368825326</v>
      </c>
      <c r="AM29" s="30">
        <f t="shared" si="62"/>
        <v>37.32156565713241</v>
      </c>
      <c r="AN29" s="29">
        <f t="shared" si="112"/>
        <v>37.867753997939587</v>
      </c>
      <c r="AO29" s="30">
        <f t="shared" si="62"/>
        <v>37.867526197219647</v>
      </c>
      <c r="AP29" s="29">
        <f t="shared" si="112"/>
        <v>38.049588977488696</v>
      </c>
      <c r="AQ29" s="30">
        <f t="shared" si="62"/>
        <v>38.047225197762117</v>
      </c>
      <c r="AR29" s="29">
        <f t="shared" si="112"/>
        <v>38.229287978031181</v>
      </c>
      <c r="AS29" s="30">
        <f t="shared" si="62"/>
        <v>38.228721254288885</v>
      </c>
      <c r="AT29" s="29">
        <f t="shared" si="112"/>
        <v>38.774909595096062</v>
      </c>
      <c r="AU29" s="30">
        <f t="shared" si="62"/>
        <v>38.770566622986394</v>
      </c>
      <c r="AV29" s="29">
        <f t="shared" si="112"/>
        <v>39.043660793389975</v>
      </c>
      <c r="AW29" s="30">
        <f t="shared" si="62"/>
        <v>39.042567106854221</v>
      </c>
      <c r="AX29" s="29">
        <f t="shared" si="112"/>
        <v>39.31566127725781</v>
      </c>
      <c r="AY29" s="30">
        <f t="shared" si="62"/>
        <v>39.308805660602758</v>
      </c>
      <c r="AZ29" s="29">
        <f t="shared" si="112"/>
        <v>39.490868440871814</v>
      </c>
      <c r="BA29" s="30">
        <f t="shared" si="62"/>
        <v>39.489061683389636</v>
      </c>
      <c r="BB29" s="29">
        <f t="shared" si="112"/>
        <v>39.6711244636587</v>
      </c>
      <c r="BC29" s="30">
        <f t="shared" si="62"/>
        <v>39.661345733601955</v>
      </c>
      <c r="BD29" s="29">
        <f t="shared" si="112"/>
        <v>39.843408513871012</v>
      </c>
      <c r="BE29" s="30">
        <f t="shared" si="62"/>
        <v>39.840717780643516</v>
      </c>
      <c r="BF29" s="29">
        <f t="shared" si="112"/>
        <v>39.931749170778041</v>
      </c>
      <c r="BG29" s="30">
        <f t="shared" si="62"/>
        <v>39.918762465188856</v>
      </c>
      <c r="BH29" s="29">
        <f t="shared" si="112"/>
        <v>40.009793855323387</v>
      </c>
    </row>
    <row r="30" spans="2:60" x14ac:dyDescent="0.3">
      <c r="B30" s="23"/>
      <c r="C30" s="27"/>
      <c r="D30" s="31">
        <f t="shared" si="52"/>
        <v>2.9999999999999956</v>
      </c>
      <c r="E30" s="28">
        <v>0</v>
      </c>
      <c r="F30" s="29">
        <f t="shared" si="113"/>
        <v>16.385650224215247</v>
      </c>
      <c r="G30" s="5">
        <f t="shared" si="114"/>
        <v>16.385650224215247</v>
      </c>
      <c r="H30" s="29">
        <f t="shared" si="115"/>
        <v>20.026905829596412</v>
      </c>
      <c r="I30" s="28">
        <f t="shared" si="2"/>
        <v>20.026905829596412</v>
      </c>
      <c r="J30" s="29">
        <f t="shared" si="116"/>
        <v>24.032286995515694</v>
      </c>
      <c r="K30" s="30">
        <f t="shared" si="54"/>
        <v>24.032286995515694</v>
      </c>
      <c r="L30" s="29">
        <f t="shared" si="117"/>
        <v>25.306726457399105</v>
      </c>
      <c r="M30" s="30">
        <f t="shared" si="54"/>
        <v>25.306726457399105</v>
      </c>
      <c r="N30" s="29">
        <f t="shared" si="117"/>
        <v>26.945291479820629</v>
      </c>
      <c r="O30" s="30">
        <f t="shared" si="54"/>
        <v>26.945291479820629</v>
      </c>
      <c r="P30" s="29">
        <f t="shared" si="117"/>
        <v>28.583856502242153</v>
      </c>
      <c r="Q30" s="30">
        <f t="shared" si="54"/>
        <v>28.583856502242153</v>
      </c>
      <c r="R30" s="29">
        <f t="shared" si="117"/>
        <v>30.04035874439462</v>
      </c>
      <c r="S30" s="30">
        <f t="shared" si="54"/>
        <v>30.04035874439462</v>
      </c>
      <c r="T30" s="29">
        <f t="shared" si="117"/>
        <v>30.76860986547085</v>
      </c>
      <c r="U30" s="30">
        <f t="shared" si="54"/>
        <v>30.76860986547085</v>
      </c>
      <c r="V30" s="29">
        <f t="shared" si="117"/>
        <v>31.678923766816141</v>
      </c>
      <c r="W30" s="30">
        <f t="shared" si="54"/>
        <v>31.678923766816141</v>
      </c>
      <c r="X30" s="29">
        <f t="shared" si="117"/>
        <v>32.407174887892374</v>
      </c>
      <c r="Y30" s="30">
        <f t="shared" si="54"/>
        <v>32.407174887892374</v>
      </c>
      <c r="Z30" s="29">
        <f t="shared" si="117"/>
        <v>32.771300448430495</v>
      </c>
      <c r="AA30" s="30">
        <f t="shared" si="62"/>
        <v>32.771300448430495</v>
      </c>
      <c r="AB30" s="29">
        <f t="shared" si="112"/>
        <v>33.408520179372196</v>
      </c>
      <c r="AC30" s="30">
        <f t="shared" si="62"/>
        <v>33.408520179372196</v>
      </c>
      <c r="AD30" s="29">
        <f t="shared" si="112"/>
        <v>34.227802690582962</v>
      </c>
      <c r="AE30" s="30">
        <f t="shared" si="62"/>
        <v>34.227802690582962</v>
      </c>
      <c r="AF30" s="29">
        <f t="shared" si="112"/>
        <v>35.502242152466366</v>
      </c>
      <c r="AG30" s="30">
        <f t="shared" si="62"/>
        <v>35.501742102105517</v>
      </c>
      <c r="AH30" s="29">
        <f t="shared" si="112"/>
        <v>36.412056003450807</v>
      </c>
      <c r="AI30" s="30">
        <f t="shared" si="62"/>
        <v>36.411944881148401</v>
      </c>
      <c r="AJ30" s="29">
        <f t="shared" si="112"/>
        <v>36.958133221955585</v>
      </c>
      <c r="AK30" s="30">
        <f t="shared" si="62"/>
        <v>36.956260811159972</v>
      </c>
      <c r="AL30" s="29">
        <f t="shared" si="112"/>
        <v>37.320386371698085</v>
      </c>
      <c r="AM30" s="30">
        <f t="shared" si="62"/>
        <v>37.319958550833803</v>
      </c>
      <c r="AN30" s="29">
        <f t="shared" si="112"/>
        <v>37.86614689164098</v>
      </c>
      <c r="AO30" s="30">
        <f t="shared" si="62"/>
        <v>37.86194994118182</v>
      </c>
      <c r="AP30" s="29">
        <f t="shared" si="112"/>
        <v>38.044012721450869</v>
      </c>
      <c r="AQ30" s="30">
        <f t="shared" si="62"/>
        <v>38.043000119470157</v>
      </c>
      <c r="AR30" s="29">
        <f t="shared" si="112"/>
        <v>38.225062899739221</v>
      </c>
      <c r="AS30" s="30">
        <f t="shared" si="62"/>
        <v>38.217699310918562</v>
      </c>
      <c r="AT30" s="29">
        <f t="shared" si="112"/>
        <v>38.763887651725739</v>
      </c>
      <c r="AU30" s="30">
        <f t="shared" si="62"/>
        <v>38.762015588187325</v>
      </c>
      <c r="AV30" s="29">
        <f t="shared" si="112"/>
        <v>39.035109758590906</v>
      </c>
      <c r="AW30" s="30">
        <f t="shared" si="62"/>
        <v>39.023937669890877</v>
      </c>
      <c r="AX30" s="29">
        <f t="shared" si="112"/>
        <v>39.297031840294466</v>
      </c>
      <c r="AY30" s="30">
        <f t="shared" si="62"/>
        <v>39.294054370289963</v>
      </c>
      <c r="AZ30" s="29">
        <f t="shared" si="112"/>
        <v>39.47611715055902</v>
      </c>
      <c r="BA30" s="30">
        <f t="shared" si="62"/>
        <v>39.460724389392695</v>
      </c>
      <c r="BB30" s="29">
        <f t="shared" si="112"/>
        <v>39.642787169661759</v>
      </c>
      <c r="BC30" s="30">
        <f t="shared" si="62"/>
        <v>39.63850285146269</v>
      </c>
      <c r="BD30" s="29">
        <f t="shared" si="112"/>
        <v>39.820565631731746</v>
      </c>
      <c r="BE30" s="30">
        <f t="shared" si="62"/>
        <v>39.800737283876657</v>
      </c>
      <c r="BF30" s="29">
        <f t="shared" si="112"/>
        <v>39.891768674011182</v>
      </c>
      <c r="BG30" s="30">
        <f t="shared" si="62"/>
        <v>39.886001922985358</v>
      </c>
      <c r="BH30" s="29">
        <f t="shared" si="112"/>
        <v>39.97703331311989</v>
      </c>
    </row>
    <row r="31" spans="2:60" x14ac:dyDescent="0.3">
      <c r="B31" s="23"/>
      <c r="C31" s="27"/>
      <c r="D31" s="31">
        <f t="shared" si="52"/>
        <v>2.7999999999999954</v>
      </c>
      <c r="E31" s="28">
        <v>0</v>
      </c>
      <c r="F31" s="29">
        <f t="shared" si="113"/>
        <v>16.385650224215247</v>
      </c>
      <c r="G31" s="5">
        <f t="shared" si="114"/>
        <v>16.385650224215247</v>
      </c>
      <c r="H31" s="29">
        <f t="shared" si="115"/>
        <v>20.026905829596412</v>
      </c>
      <c r="I31" s="28">
        <f t="shared" si="2"/>
        <v>20.026905829596412</v>
      </c>
      <c r="J31" s="29">
        <f t="shared" si="116"/>
        <v>24.032286995515694</v>
      </c>
      <c r="K31" s="30">
        <f t="shared" si="54"/>
        <v>24.032286995515694</v>
      </c>
      <c r="L31" s="29">
        <f t="shared" si="117"/>
        <v>25.306726457399105</v>
      </c>
      <c r="M31" s="30">
        <f t="shared" si="54"/>
        <v>25.306726457399105</v>
      </c>
      <c r="N31" s="29">
        <f t="shared" si="117"/>
        <v>26.945291479820629</v>
      </c>
      <c r="O31" s="30">
        <f t="shared" si="54"/>
        <v>26.945291479820629</v>
      </c>
      <c r="P31" s="29">
        <f t="shared" si="117"/>
        <v>28.583856502242153</v>
      </c>
      <c r="Q31" s="30">
        <f t="shared" si="54"/>
        <v>28.583856502242153</v>
      </c>
      <c r="R31" s="29">
        <f t="shared" si="117"/>
        <v>30.04035874439462</v>
      </c>
      <c r="S31" s="30">
        <f t="shared" si="54"/>
        <v>30.04035874439462</v>
      </c>
      <c r="T31" s="29">
        <f t="shared" si="117"/>
        <v>30.76860986547085</v>
      </c>
      <c r="U31" s="30">
        <f t="shared" si="54"/>
        <v>30.76860986547085</v>
      </c>
      <c r="V31" s="29">
        <f t="shared" si="117"/>
        <v>31.678923766816141</v>
      </c>
      <c r="W31" s="30">
        <f t="shared" si="54"/>
        <v>31.678923766816141</v>
      </c>
      <c r="X31" s="29">
        <f t="shared" si="117"/>
        <v>32.407174887892374</v>
      </c>
      <c r="Y31" s="30">
        <f t="shared" si="54"/>
        <v>32.407174887892374</v>
      </c>
      <c r="Z31" s="29">
        <f t="shared" si="117"/>
        <v>32.771300448430495</v>
      </c>
      <c r="AA31" s="30">
        <f t="shared" si="62"/>
        <v>32.771300448430495</v>
      </c>
      <c r="AB31" s="29">
        <f t="shared" si="112"/>
        <v>33.408520179372196</v>
      </c>
      <c r="AC31" s="30">
        <f t="shared" si="62"/>
        <v>33.408520179372196</v>
      </c>
      <c r="AD31" s="29">
        <f t="shared" si="112"/>
        <v>34.227802690582962</v>
      </c>
      <c r="AE31" s="30">
        <f t="shared" si="62"/>
        <v>34.226802589861265</v>
      </c>
      <c r="AF31" s="29">
        <f t="shared" si="112"/>
        <v>35.501242051744669</v>
      </c>
      <c r="AG31" s="30">
        <f t="shared" si="62"/>
        <v>35.501019807139855</v>
      </c>
      <c r="AH31" s="29">
        <f t="shared" si="112"/>
        <v>36.411333708485145</v>
      </c>
      <c r="AI31" s="30">
        <f t="shared" si="62"/>
        <v>36.40783891207434</v>
      </c>
      <c r="AJ31" s="29">
        <f t="shared" si="112"/>
        <v>36.954027252881524</v>
      </c>
      <c r="AK31" s="30">
        <f t="shared" si="62"/>
        <v>36.953227172304167</v>
      </c>
      <c r="AL31" s="29">
        <f t="shared" si="112"/>
        <v>37.317352732842281</v>
      </c>
      <c r="AM31" s="30">
        <f t="shared" si="62"/>
        <v>37.309957543616875</v>
      </c>
      <c r="AN31" s="29">
        <f t="shared" si="112"/>
        <v>37.856145884424052</v>
      </c>
      <c r="AO31" s="30">
        <f t="shared" si="62"/>
        <v>37.854348481182569</v>
      </c>
      <c r="AP31" s="29">
        <f t="shared" si="112"/>
        <v>38.036411261451619</v>
      </c>
      <c r="AQ31" s="30">
        <f t="shared" si="62"/>
        <v>38.024047863536879</v>
      </c>
      <c r="AR31" s="29">
        <f t="shared" si="112"/>
        <v>38.206110643805943</v>
      </c>
      <c r="AS31" s="30">
        <f t="shared" si="62"/>
        <v>38.202933240471403</v>
      </c>
      <c r="AT31" s="29">
        <f t="shared" si="112"/>
        <v>38.74912158127858</v>
      </c>
      <c r="AU31" s="30">
        <f t="shared" si="62"/>
        <v>38.731120375988198</v>
      </c>
      <c r="AV31" s="29">
        <f t="shared" si="112"/>
        <v>39.004214546391779</v>
      </c>
      <c r="AW31" s="30">
        <f t="shared" si="62"/>
        <v>38.999353292918528</v>
      </c>
      <c r="AX31" s="29">
        <f t="shared" si="112"/>
        <v>39.272447463322116</v>
      </c>
      <c r="AY31" s="30">
        <f t="shared" si="62"/>
        <v>39.248517557644519</v>
      </c>
      <c r="AZ31" s="29">
        <f t="shared" si="112"/>
        <v>39.430580337913575</v>
      </c>
      <c r="BA31" s="30">
        <f t="shared" si="62"/>
        <v>39.423818458997616</v>
      </c>
      <c r="BB31" s="29">
        <f t="shared" si="112"/>
        <v>39.605881239266679</v>
      </c>
      <c r="BC31" s="30">
        <f t="shared" si="62"/>
        <v>39.576003273613253</v>
      </c>
      <c r="BD31" s="29">
        <f t="shared" si="112"/>
        <v>39.75806605388231</v>
      </c>
      <c r="BE31" s="30">
        <f t="shared" si="62"/>
        <v>39.749223285058157</v>
      </c>
      <c r="BF31" s="29">
        <f t="shared" si="112"/>
        <v>39.840254675192682</v>
      </c>
      <c r="BG31" s="30">
        <f t="shared" si="62"/>
        <v>39.804576480749475</v>
      </c>
      <c r="BH31" s="29">
        <f t="shared" si="112"/>
        <v>39.895607870884007</v>
      </c>
    </row>
    <row r="32" spans="2:60" x14ac:dyDescent="0.3">
      <c r="B32" s="23"/>
      <c r="C32" s="27"/>
      <c r="D32" s="31">
        <f t="shared" si="52"/>
        <v>2.5999999999999952</v>
      </c>
      <c r="E32" s="28">
        <v>0</v>
      </c>
      <c r="F32" s="29">
        <f t="shared" si="113"/>
        <v>16.385650224215247</v>
      </c>
      <c r="G32" s="5">
        <f t="shared" si="114"/>
        <v>16.385650224215247</v>
      </c>
      <c r="H32" s="29">
        <f t="shared" si="115"/>
        <v>20.026905829596412</v>
      </c>
      <c r="I32" s="28">
        <f t="shared" si="2"/>
        <v>20.026905829596412</v>
      </c>
      <c r="J32" s="29">
        <f t="shared" si="116"/>
        <v>24.032286995515694</v>
      </c>
      <c r="K32" s="30">
        <f t="shared" si="54"/>
        <v>24.032286995515694</v>
      </c>
      <c r="L32" s="29">
        <f t="shared" si="117"/>
        <v>25.306726457399105</v>
      </c>
      <c r="M32" s="30">
        <f t="shared" si="54"/>
        <v>25.306726457399105</v>
      </c>
      <c r="N32" s="29">
        <f t="shared" si="117"/>
        <v>26.945291479820629</v>
      </c>
      <c r="O32" s="30">
        <f t="shared" si="54"/>
        <v>26.945291479820629</v>
      </c>
      <c r="P32" s="29">
        <f t="shared" si="117"/>
        <v>28.583856502242153</v>
      </c>
      <c r="Q32" s="30">
        <f t="shared" si="54"/>
        <v>28.583856502242153</v>
      </c>
      <c r="R32" s="29">
        <f t="shared" si="117"/>
        <v>30.04035874439462</v>
      </c>
      <c r="S32" s="30">
        <f t="shared" si="54"/>
        <v>30.04035874439462</v>
      </c>
      <c r="T32" s="29">
        <f t="shared" si="117"/>
        <v>30.76860986547085</v>
      </c>
      <c r="U32" s="30">
        <f t="shared" si="54"/>
        <v>30.76860986547085</v>
      </c>
      <c r="V32" s="29">
        <f t="shared" si="117"/>
        <v>31.678923766816141</v>
      </c>
      <c r="W32" s="30">
        <f t="shared" si="54"/>
        <v>31.678923766816141</v>
      </c>
      <c r="X32" s="29">
        <f t="shared" si="117"/>
        <v>32.407174887892374</v>
      </c>
      <c r="Y32" s="30">
        <f t="shared" si="54"/>
        <v>32.407174887892374</v>
      </c>
      <c r="Z32" s="29">
        <f t="shared" si="117"/>
        <v>32.771300448430495</v>
      </c>
      <c r="AA32" s="30">
        <f t="shared" si="62"/>
        <v>32.771300448430495</v>
      </c>
      <c r="AB32" s="29">
        <f t="shared" si="112"/>
        <v>33.408520179372196</v>
      </c>
      <c r="AC32" s="30">
        <f t="shared" si="62"/>
        <v>33.406519977928809</v>
      </c>
      <c r="AD32" s="29">
        <f t="shared" si="112"/>
        <v>34.225802489139575</v>
      </c>
      <c r="AE32" s="30">
        <f t="shared" si="62"/>
        <v>34.22535799992994</v>
      </c>
      <c r="AF32" s="29">
        <f t="shared" si="112"/>
        <v>35.499797461813344</v>
      </c>
      <c r="AG32" s="30">
        <f t="shared" si="62"/>
        <v>35.493307919352574</v>
      </c>
      <c r="AH32" s="29">
        <f t="shared" si="112"/>
        <v>36.403621820697865</v>
      </c>
      <c r="AI32" s="30">
        <f t="shared" si="62"/>
        <v>36.402132781845573</v>
      </c>
      <c r="AJ32" s="29">
        <f t="shared" si="112"/>
        <v>36.948321122652757</v>
      </c>
      <c r="AK32" s="30">
        <f t="shared" si="62"/>
        <v>36.935403154997552</v>
      </c>
      <c r="AL32" s="29">
        <f t="shared" si="112"/>
        <v>37.299528715535665</v>
      </c>
      <c r="AM32" s="30">
        <f t="shared" si="62"/>
        <v>37.296361729916974</v>
      </c>
      <c r="AN32" s="29">
        <f t="shared" si="112"/>
        <v>37.842550070724151</v>
      </c>
      <c r="AO32" s="30">
        <f t="shared" si="62"/>
        <v>37.822020225353839</v>
      </c>
      <c r="AP32" s="29">
        <f t="shared" si="112"/>
        <v>38.004083005622888</v>
      </c>
      <c r="AQ32" s="30">
        <f t="shared" si="62"/>
        <v>37.99874080093452</v>
      </c>
      <c r="AR32" s="29">
        <f t="shared" si="112"/>
        <v>38.180803581203584</v>
      </c>
      <c r="AS32" s="30">
        <f t="shared" si="62"/>
        <v>38.15216475944348</v>
      </c>
      <c r="AT32" s="29">
        <f t="shared" si="112"/>
        <v>38.698353100250657</v>
      </c>
      <c r="AU32" s="30">
        <f t="shared" si="62"/>
        <v>38.690502656842568</v>
      </c>
      <c r="AV32" s="29">
        <f t="shared" si="112"/>
        <v>38.96359682724615</v>
      </c>
      <c r="AW32" s="30">
        <f t="shared" si="62"/>
        <v>38.92690910459099</v>
      </c>
      <c r="AX32" s="29">
        <f t="shared" si="112"/>
        <v>39.200003274994579</v>
      </c>
      <c r="AY32" s="30">
        <f t="shared" si="62"/>
        <v>39.189456987167155</v>
      </c>
      <c r="AZ32" s="29">
        <f t="shared" si="112"/>
        <v>39.371519767436212</v>
      </c>
      <c r="BA32" s="30">
        <f t="shared" si="62"/>
        <v>39.327156597295676</v>
      </c>
      <c r="BB32" s="29">
        <f t="shared" si="112"/>
        <v>39.50921937756474</v>
      </c>
      <c r="BC32" s="30">
        <f t="shared" si="62"/>
        <v>39.495818158115512</v>
      </c>
      <c r="BD32" s="29">
        <f t="shared" si="112"/>
        <v>39.677880938384568</v>
      </c>
      <c r="BE32" s="30">
        <f t="shared" si="62"/>
        <v>39.626352897353236</v>
      </c>
      <c r="BF32" s="29">
        <f t="shared" si="112"/>
        <v>39.717384287487761</v>
      </c>
      <c r="BG32" s="30">
        <f t="shared" si="62"/>
        <v>39.70104980550272</v>
      </c>
      <c r="BH32" s="29">
        <f t="shared" si="112"/>
        <v>39.792081195637252</v>
      </c>
    </row>
    <row r="33" spans="2:60" x14ac:dyDescent="0.3">
      <c r="B33" s="23"/>
      <c r="C33" s="27"/>
      <c r="D33" s="31">
        <f t="shared" si="52"/>
        <v>2.399999999999995</v>
      </c>
      <c r="E33" s="28">
        <v>0</v>
      </c>
      <c r="F33" s="29">
        <f t="shared" si="113"/>
        <v>16.385650224215247</v>
      </c>
      <c r="G33" s="5">
        <f t="shared" si="114"/>
        <v>16.385650224215247</v>
      </c>
      <c r="H33" s="29">
        <f t="shared" si="115"/>
        <v>20.026905829596412</v>
      </c>
      <c r="I33" s="28">
        <f t="shared" si="2"/>
        <v>20.026905829596412</v>
      </c>
      <c r="J33" s="29">
        <f t="shared" si="116"/>
        <v>24.032286995515694</v>
      </c>
      <c r="K33" s="30">
        <f t="shared" si="54"/>
        <v>24.032286995515694</v>
      </c>
      <c r="L33" s="29">
        <f t="shared" si="117"/>
        <v>25.306726457399105</v>
      </c>
      <c r="M33" s="30">
        <f t="shared" si="54"/>
        <v>25.306726457399105</v>
      </c>
      <c r="N33" s="29">
        <f t="shared" si="117"/>
        <v>26.945291479820629</v>
      </c>
      <c r="O33" s="30">
        <f t="shared" si="54"/>
        <v>26.945291479820629</v>
      </c>
      <c r="P33" s="29">
        <f t="shared" si="117"/>
        <v>28.583856502242153</v>
      </c>
      <c r="Q33" s="30">
        <f t="shared" si="54"/>
        <v>28.583856502242153</v>
      </c>
      <c r="R33" s="29">
        <f t="shared" si="117"/>
        <v>30.04035874439462</v>
      </c>
      <c r="S33" s="30">
        <f t="shared" si="54"/>
        <v>30.04035874439462</v>
      </c>
      <c r="T33" s="29">
        <f t="shared" si="117"/>
        <v>30.76860986547085</v>
      </c>
      <c r="U33" s="30">
        <f t="shared" si="54"/>
        <v>30.76860986547085</v>
      </c>
      <c r="V33" s="29">
        <f t="shared" si="117"/>
        <v>31.678923766816141</v>
      </c>
      <c r="W33" s="30">
        <f t="shared" si="54"/>
        <v>31.678923766816141</v>
      </c>
      <c r="X33" s="29">
        <f t="shared" si="117"/>
        <v>32.407174887892374</v>
      </c>
      <c r="Y33" s="30">
        <f t="shared" si="54"/>
        <v>32.407174887892374</v>
      </c>
      <c r="Z33" s="29">
        <f t="shared" si="117"/>
        <v>32.771300448430495</v>
      </c>
      <c r="AA33" s="30">
        <f t="shared" si="62"/>
        <v>32.76730004554372</v>
      </c>
      <c r="AB33" s="29">
        <f t="shared" si="112"/>
        <v>33.404519776485422</v>
      </c>
      <c r="AC33" s="30">
        <f t="shared" si="62"/>
        <v>33.403630798066146</v>
      </c>
      <c r="AD33" s="29">
        <f t="shared" si="112"/>
        <v>34.222913309276912</v>
      </c>
      <c r="AE33" s="30">
        <f t="shared" si="62"/>
        <v>34.210934325077076</v>
      </c>
      <c r="AF33" s="29">
        <f t="shared" si="112"/>
        <v>35.48537378696048</v>
      </c>
      <c r="AG33" s="30">
        <f t="shared" si="62"/>
        <v>35.482617953860711</v>
      </c>
      <c r="AH33" s="29">
        <f t="shared" si="112"/>
        <v>36.392931855206001</v>
      </c>
      <c r="AI33" s="30">
        <f t="shared" si="62"/>
        <v>36.370590716306396</v>
      </c>
      <c r="AJ33" s="29">
        <f t="shared" si="112"/>
        <v>36.91677905711358</v>
      </c>
      <c r="AK33" s="30">
        <f t="shared" si="62"/>
        <v>36.911245166453554</v>
      </c>
      <c r="AL33" s="29">
        <f t="shared" si="112"/>
        <v>37.275370726991667</v>
      </c>
      <c r="AM33" s="30">
        <f t="shared" si="62"/>
        <v>37.241706225476456</v>
      </c>
      <c r="AN33" s="29">
        <f t="shared" si="112"/>
        <v>37.787894566283633</v>
      </c>
      <c r="AO33" s="30">
        <f t="shared" si="62"/>
        <v>37.779007560148372</v>
      </c>
      <c r="AP33" s="29">
        <f t="shared" si="112"/>
        <v>37.961070340417422</v>
      </c>
      <c r="AQ33" s="30">
        <f t="shared" si="62"/>
        <v>37.916156094811946</v>
      </c>
      <c r="AR33" s="29">
        <f t="shared" si="112"/>
        <v>38.09821887508101</v>
      </c>
      <c r="AS33" s="30">
        <f t="shared" si="62"/>
        <v>38.085695391599373</v>
      </c>
      <c r="AT33" s="29">
        <f t="shared" si="112"/>
        <v>38.63188373240655</v>
      </c>
      <c r="AU33" s="30">
        <f t="shared" si="62"/>
        <v>38.57650949238662</v>
      </c>
      <c r="AV33" s="29">
        <f t="shared" si="112"/>
        <v>38.849603662790201</v>
      </c>
      <c r="AW33" s="30">
        <f t="shared" si="62"/>
        <v>38.833372340608605</v>
      </c>
      <c r="AX33" s="29">
        <f t="shared" si="112"/>
        <v>39.106466511012194</v>
      </c>
      <c r="AY33" s="30">
        <f t="shared" si="62"/>
        <v>39.041670076408721</v>
      </c>
      <c r="AZ33" s="29">
        <f t="shared" si="112"/>
        <v>39.223732856677778</v>
      </c>
      <c r="BA33" s="30">
        <f t="shared" si="62"/>
        <v>39.20369229669528</v>
      </c>
      <c r="BB33" s="29">
        <f t="shared" si="112"/>
        <v>39.385755076964344</v>
      </c>
      <c r="BC33" s="30">
        <f t="shared" si="62"/>
        <v>39.312576960555106</v>
      </c>
      <c r="BD33" s="29">
        <f t="shared" si="112"/>
        <v>39.494639740824162</v>
      </c>
      <c r="BE33" s="30">
        <f t="shared" si="62"/>
        <v>39.470813545678226</v>
      </c>
      <c r="BF33" s="29">
        <f t="shared" si="112"/>
        <v>39.561844935812751</v>
      </c>
      <c r="BG33" s="30">
        <f t="shared" si="62"/>
        <v>39.481372195047911</v>
      </c>
      <c r="BH33" s="29">
        <f t="shared" si="112"/>
        <v>39.572403585182442</v>
      </c>
    </row>
    <row r="34" spans="2:60" x14ac:dyDescent="0.3">
      <c r="B34" s="23"/>
      <c r="C34" s="27"/>
      <c r="D34" s="31">
        <f t="shared" si="52"/>
        <v>2.1999999999999948</v>
      </c>
      <c r="E34" s="28">
        <v>0</v>
      </c>
      <c r="F34" s="29">
        <f t="shared" si="113"/>
        <v>16.385650224215247</v>
      </c>
      <c r="G34" s="5">
        <f t="shared" si="114"/>
        <v>16.385650224215247</v>
      </c>
      <c r="H34" s="29">
        <f t="shared" si="115"/>
        <v>20.026905829596412</v>
      </c>
      <c r="I34" s="28">
        <f t="shared" si="2"/>
        <v>20.026905829596412</v>
      </c>
      <c r="J34" s="29">
        <f t="shared" si="116"/>
        <v>24.032286995515694</v>
      </c>
      <c r="K34" s="30">
        <f t="shared" si="54"/>
        <v>24.032286995515694</v>
      </c>
      <c r="L34" s="29">
        <f t="shared" si="117"/>
        <v>25.306726457399105</v>
      </c>
      <c r="M34" s="30">
        <f t="shared" si="54"/>
        <v>25.306726457399105</v>
      </c>
      <c r="N34" s="29">
        <f t="shared" si="117"/>
        <v>26.945291479820629</v>
      </c>
      <c r="O34" s="30">
        <f t="shared" si="54"/>
        <v>26.945291479820629</v>
      </c>
      <c r="P34" s="29">
        <f t="shared" si="117"/>
        <v>28.583856502242153</v>
      </c>
      <c r="Q34" s="30">
        <f t="shared" si="54"/>
        <v>28.583856502242153</v>
      </c>
      <c r="R34" s="29">
        <f t="shared" si="117"/>
        <v>30.04035874439462</v>
      </c>
      <c r="S34" s="30">
        <f t="shared" si="54"/>
        <v>30.04035874439462</v>
      </c>
      <c r="T34" s="29">
        <f t="shared" si="117"/>
        <v>30.76860986547085</v>
      </c>
      <c r="U34" s="30">
        <f t="shared" si="54"/>
        <v>30.76860986547085</v>
      </c>
      <c r="V34" s="29">
        <f t="shared" si="117"/>
        <v>31.678923766816141</v>
      </c>
      <c r="W34" s="30">
        <f t="shared" si="54"/>
        <v>31.678923766816141</v>
      </c>
      <c r="X34" s="29">
        <f t="shared" si="117"/>
        <v>32.407174887892374</v>
      </c>
      <c r="Y34" s="30">
        <f t="shared" si="54"/>
        <v>32.399174082118833</v>
      </c>
      <c r="Z34" s="29">
        <f t="shared" si="117"/>
        <v>32.763299642656953</v>
      </c>
      <c r="AA34" s="30">
        <f t="shared" si="62"/>
        <v>32.761521685818387</v>
      </c>
      <c r="AB34" s="29">
        <f t="shared" si="112"/>
        <v>33.398741416760089</v>
      </c>
      <c r="AC34" s="30">
        <f t="shared" si="62"/>
        <v>33.376783649803812</v>
      </c>
      <c r="AD34" s="29">
        <f t="shared" si="112"/>
        <v>34.196066161014578</v>
      </c>
      <c r="AE34" s="30">
        <f t="shared" si="62"/>
        <v>34.190998984024667</v>
      </c>
      <c r="AF34" s="29">
        <f t="shared" si="112"/>
        <v>35.46543844590807</v>
      </c>
      <c r="AG34" s="30">
        <f t="shared" si="62"/>
        <v>35.427245710569643</v>
      </c>
      <c r="AH34" s="29">
        <f t="shared" si="112"/>
        <v>36.337559611914934</v>
      </c>
      <c r="AI34" s="30">
        <f t="shared" si="62"/>
        <v>36.327980869447167</v>
      </c>
      <c r="AJ34" s="29">
        <f t="shared" si="112"/>
        <v>36.874169210254351</v>
      </c>
      <c r="AK34" s="30">
        <f t="shared" si="62"/>
        <v>36.819758174879134</v>
      </c>
      <c r="AL34" s="29">
        <f t="shared" si="112"/>
        <v>37.183883735417247</v>
      </c>
      <c r="AM34" s="30">
        <f t="shared" si="62"/>
        <v>37.169276708765416</v>
      </c>
      <c r="AN34" s="29">
        <f t="shared" si="112"/>
        <v>37.715465049572593</v>
      </c>
      <c r="AO34" s="30">
        <f t="shared" si="62"/>
        <v>37.646166403731954</v>
      </c>
      <c r="AP34" s="29">
        <f t="shared" si="112"/>
        <v>37.828229184001003</v>
      </c>
      <c r="AQ34" s="30">
        <f t="shared" si="62"/>
        <v>37.808524421726105</v>
      </c>
      <c r="AR34" s="29">
        <f t="shared" si="112"/>
        <v>37.990587201995169</v>
      </c>
      <c r="AS34" s="30">
        <f t="shared" si="62"/>
        <v>37.908477543715399</v>
      </c>
      <c r="AT34" s="29">
        <f t="shared" si="112"/>
        <v>38.454665884522576</v>
      </c>
      <c r="AU34" s="30">
        <f t="shared" si="62"/>
        <v>38.430053683567479</v>
      </c>
      <c r="AV34" s="29">
        <f t="shared" si="112"/>
        <v>38.70314785397106</v>
      </c>
      <c r="AW34" s="30">
        <f t="shared" si="62"/>
        <v>38.610242707419282</v>
      </c>
      <c r="AX34" s="29">
        <f t="shared" si="112"/>
        <v>38.88333687782287</v>
      </c>
      <c r="AY34" s="30">
        <f t="shared" si="62"/>
        <v>38.853802045685292</v>
      </c>
      <c r="AZ34" s="29">
        <f t="shared" si="112"/>
        <v>39.035864825954349</v>
      </c>
      <c r="BA34" s="30">
        <f t="shared" si="62"/>
        <v>38.9338717632764</v>
      </c>
      <c r="BB34" s="29">
        <f t="shared" si="112"/>
        <v>39.115934543545464</v>
      </c>
      <c r="BC34" s="30">
        <f t="shared" si="62"/>
        <v>39.081683372702834</v>
      </c>
      <c r="BD34" s="29">
        <f t="shared" si="112"/>
        <v>39.263746152971891</v>
      </c>
      <c r="BE34" s="30">
        <f t="shared" si="62"/>
        <v>39.154328712473529</v>
      </c>
      <c r="BF34" s="29">
        <f t="shared" si="112"/>
        <v>39.245360102608053</v>
      </c>
      <c r="BG34" s="30">
        <f t="shared" si="62"/>
        <v>39.206740409122446</v>
      </c>
      <c r="BH34" s="29">
        <f t="shared" si="112"/>
        <v>39.297771799256978</v>
      </c>
    </row>
    <row r="35" spans="2:60" x14ac:dyDescent="0.3">
      <c r="B35" s="23"/>
      <c r="C35" s="27"/>
      <c r="D35" s="31">
        <f t="shared" si="52"/>
        <v>1.9999999999999949</v>
      </c>
      <c r="E35" s="28">
        <v>0</v>
      </c>
      <c r="F35" s="29">
        <f t="shared" si="113"/>
        <v>16.385650224215247</v>
      </c>
      <c r="G35" s="5">
        <f t="shared" si="114"/>
        <v>16.385650224215247</v>
      </c>
      <c r="H35" s="29">
        <f t="shared" si="115"/>
        <v>20.026905829596412</v>
      </c>
      <c r="I35" s="28">
        <f t="shared" si="2"/>
        <v>20.026905829596412</v>
      </c>
      <c r="J35" s="29">
        <f t="shared" si="116"/>
        <v>24.032286995515694</v>
      </c>
      <c r="K35" s="30">
        <f t="shared" si="54"/>
        <v>24.032286995515694</v>
      </c>
      <c r="L35" s="29">
        <f t="shared" si="117"/>
        <v>25.306726457399105</v>
      </c>
      <c r="M35" s="30">
        <f t="shared" si="54"/>
        <v>25.306726457399105</v>
      </c>
      <c r="N35" s="29">
        <f t="shared" si="117"/>
        <v>26.945291479820629</v>
      </c>
      <c r="O35" s="30">
        <f t="shared" si="54"/>
        <v>26.945291479820629</v>
      </c>
      <c r="P35" s="29">
        <f t="shared" si="117"/>
        <v>28.583856502242153</v>
      </c>
      <c r="Q35" s="30">
        <f t="shared" si="54"/>
        <v>28.583856502242153</v>
      </c>
      <c r="R35" s="29">
        <f t="shared" si="117"/>
        <v>30.04035874439462</v>
      </c>
      <c r="S35" s="30">
        <f t="shared" si="54"/>
        <v>30.04035874439462</v>
      </c>
      <c r="T35" s="29">
        <f t="shared" si="117"/>
        <v>30.76860986547085</v>
      </c>
      <c r="U35" s="30">
        <f t="shared" si="54"/>
        <v>30.76860986547085</v>
      </c>
      <c r="V35" s="29">
        <f t="shared" si="117"/>
        <v>31.678923766816141</v>
      </c>
      <c r="W35" s="30">
        <f t="shared" si="54"/>
        <v>31.662922155269055</v>
      </c>
      <c r="X35" s="29">
        <f t="shared" si="117"/>
        <v>32.391173276345285</v>
      </c>
      <c r="Y35" s="30">
        <f t="shared" si="54"/>
        <v>32.387617362668159</v>
      </c>
      <c r="Z35" s="29">
        <f t="shared" si="117"/>
        <v>32.75174292320628</v>
      </c>
      <c r="AA35" s="30">
        <f t="shared" si="62"/>
        <v>32.711827792180493</v>
      </c>
      <c r="AB35" s="29">
        <f t="shared" si="112"/>
        <v>33.349047523122195</v>
      </c>
      <c r="AC35" s="30">
        <f t="shared" si="62"/>
        <v>33.339802147561656</v>
      </c>
      <c r="AD35" s="29">
        <f t="shared" si="112"/>
        <v>34.159084658772422</v>
      </c>
      <c r="AE35" s="30">
        <f t="shared" si="62"/>
        <v>34.094678172295403</v>
      </c>
      <c r="AF35" s="29">
        <f t="shared" si="112"/>
        <v>35.369117634178806</v>
      </c>
      <c r="AG35" s="30">
        <f t="shared" si="62"/>
        <v>35.352715982343042</v>
      </c>
      <c r="AH35" s="29">
        <f t="shared" si="112"/>
        <v>36.263029883688333</v>
      </c>
      <c r="AI35" s="30">
        <f t="shared" si="62"/>
        <v>36.176548951837503</v>
      </c>
      <c r="AJ35" s="29">
        <f t="shared" si="112"/>
        <v>36.722737292644688</v>
      </c>
      <c r="AK35" s="30">
        <f t="shared" si="62"/>
        <v>36.699057130001052</v>
      </c>
      <c r="AL35" s="29">
        <f t="shared" si="112"/>
        <v>37.063182690539165</v>
      </c>
      <c r="AM35" s="30">
        <f t="shared" si="62"/>
        <v>36.958249900373104</v>
      </c>
      <c r="AN35" s="29">
        <f t="shared" si="112"/>
        <v>37.504438241180281</v>
      </c>
      <c r="AO35" s="30">
        <f t="shared" si="62"/>
        <v>37.473915722765732</v>
      </c>
      <c r="AP35" s="29">
        <f t="shared" si="112"/>
        <v>37.655978503034781</v>
      </c>
      <c r="AQ35" s="30">
        <f t="shared" si="62"/>
        <v>37.536673432080725</v>
      </c>
      <c r="AR35" s="29">
        <f t="shared" si="112"/>
        <v>37.718736212349789</v>
      </c>
      <c r="AS35" s="30">
        <f t="shared" si="62"/>
        <v>37.682035293921224</v>
      </c>
      <c r="AT35" s="29">
        <f t="shared" si="112"/>
        <v>38.228223634728401</v>
      </c>
      <c r="AU35" s="30">
        <f t="shared" si="62"/>
        <v>38.097787581644781</v>
      </c>
      <c r="AV35" s="29">
        <f t="shared" si="112"/>
        <v>38.370881752048362</v>
      </c>
      <c r="AW35" s="30">
        <f t="shared" si="62"/>
        <v>38.328043409954802</v>
      </c>
      <c r="AX35" s="29">
        <f t="shared" si="112"/>
        <v>38.60113758035839</v>
      </c>
      <c r="AY35" s="30">
        <f t="shared" si="62"/>
        <v>38.461947889605973</v>
      </c>
      <c r="AZ35" s="29">
        <f t="shared" si="112"/>
        <v>38.64401066987503</v>
      </c>
      <c r="BA35" s="30">
        <f t="shared" si="62"/>
        <v>38.59554888817226</v>
      </c>
      <c r="BB35" s="29">
        <f t="shared" si="112"/>
        <v>38.777611668441324</v>
      </c>
      <c r="BC35" s="30">
        <f t="shared" si="62"/>
        <v>38.631954903853845</v>
      </c>
      <c r="BD35" s="29">
        <f t="shared" si="112"/>
        <v>38.814017684122902</v>
      </c>
      <c r="BE35" s="30">
        <f t="shared" si="62"/>
        <v>38.760604492297617</v>
      </c>
      <c r="BF35" s="29">
        <f t="shared" si="112"/>
        <v>38.851635882432141</v>
      </c>
      <c r="BG35" s="30">
        <f t="shared" si="62"/>
        <v>38.701665327547637</v>
      </c>
      <c r="BH35" s="29">
        <f t="shared" si="112"/>
        <v>38.792696717682169</v>
      </c>
    </row>
    <row r="36" spans="2:60" x14ac:dyDescent="0.3">
      <c r="B36" s="23"/>
      <c r="C36" s="27"/>
      <c r="D36" s="31">
        <f t="shared" si="52"/>
        <v>1.7999999999999949</v>
      </c>
      <c r="E36" s="28">
        <v>0</v>
      </c>
      <c r="F36" s="29">
        <f t="shared" si="113"/>
        <v>16.385650224215247</v>
      </c>
      <c r="G36" s="5">
        <f t="shared" si="114"/>
        <v>16.385650224215247</v>
      </c>
      <c r="H36" s="29">
        <f t="shared" si="115"/>
        <v>20.026905829596412</v>
      </c>
      <c r="I36" s="28">
        <f t="shared" si="2"/>
        <v>20.026905829596412</v>
      </c>
      <c r="J36" s="29">
        <f t="shared" si="116"/>
        <v>24.032286995515694</v>
      </c>
      <c r="K36" s="30">
        <f t="shared" si="54"/>
        <v>24.032286995515694</v>
      </c>
      <c r="L36" s="29">
        <f t="shared" si="117"/>
        <v>25.306726457399105</v>
      </c>
      <c r="M36" s="30">
        <f t="shared" si="54"/>
        <v>25.306726457399105</v>
      </c>
      <c r="N36" s="29">
        <f t="shared" si="117"/>
        <v>26.945291479820629</v>
      </c>
      <c r="O36" s="30">
        <f t="shared" si="54"/>
        <v>26.945291479820629</v>
      </c>
      <c r="P36" s="29">
        <f t="shared" si="117"/>
        <v>28.583856502242153</v>
      </c>
      <c r="Q36" s="30">
        <f t="shared" si="54"/>
        <v>28.583856502242153</v>
      </c>
      <c r="R36" s="29">
        <f t="shared" si="117"/>
        <v>30.04035874439462</v>
      </c>
      <c r="S36" s="30">
        <f t="shared" si="54"/>
        <v>30.04035874439462</v>
      </c>
      <c r="T36" s="29">
        <f t="shared" si="117"/>
        <v>30.76860986547085</v>
      </c>
      <c r="U36" s="30">
        <f t="shared" si="54"/>
        <v>30.736606642376678</v>
      </c>
      <c r="V36" s="29">
        <f t="shared" si="117"/>
        <v>31.646920543721968</v>
      </c>
      <c r="W36" s="30">
        <f t="shared" si="54"/>
        <v>31.63980871636771</v>
      </c>
      <c r="X36" s="29">
        <f t="shared" si="117"/>
        <v>32.368059837443944</v>
      </c>
      <c r="Y36" s="30">
        <f t="shared" si="54"/>
        <v>32.296230381165913</v>
      </c>
      <c r="Z36" s="29">
        <f t="shared" si="117"/>
        <v>32.660355941704033</v>
      </c>
      <c r="AA36" s="30">
        <f t="shared" si="62"/>
        <v>32.643643147421528</v>
      </c>
      <c r="AB36" s="29">
        <f t="shared" si="112"/>
        <v>33.28086287836323</v>
      </c>
      <c r="AC36" s="30">
        <f t="shared" si="62"/>
        <v>33.174007672365462</v>
      </c>
      <c r="AD36" s="29">
        <f t="shared" si="112"/>
        <v>33.993290183576228</v>
      </c>
      <c r="AE36" s="30">
        <f t="shared" si="62"/>
        <v>33.965554056894618</v>
      </c>
      <c r="AF36" s="29">
        <f t="shared" si="112"/>
        <v>35.239993518778022</v>
      </c>
      <c r="AG36" s="30">
        <f t="shared" si="62"/>
        <v>35.10522439041479</v>
      </c>
      <c r="AH36" s="29">
        <f t="shared" si="112"/>
        <v>36.01553829176008</v>
      </c>
      <c r="AI36" s="30">
        <f t="shared" si="62"/>
        <v>35.977756708940575</v>
      </c>
      <c r="AJ36" s="29">
        <f t="shared" si="112"/>
        <v>36.523945049747759</v>
      </c>
      <c r="AK36" s="30">
        <f t="shared" si="62"/>
        <v>36.368490504790849</v>
      </c>
      <c r="AL36" s="29">
        <f t="shared" si="112"/>
        <v>36.732616065328962</v>
      </c>
      <c r="AM36" s="30">
        <f t="shared" si="62"/>
        <v>36.686178055151693</v>
      </c>
      <c r="AN36" s="29">
        <f t="shared" si="112"/>
        <v>37.23236639595887</v>
      </c>
      <c r="AO36" s="30">
        <f t="shared" si="62"/>
        <v>37.063054899891398</v>
      </c>
      <c r="AP36" s="29">
        <f t="shared" si="112"/>
        <v>37.245117680160448</v>
      </c>
      <c r="AQ36" s="30">
        <f t="shared" si="62"/>
        <v>37.191420605578216</v>
      </c>
      <c r="AR36" s="29">
        <f t="shared" si="112"/>
        <v>37.37348338584728</v>
      </c>
      <c r="AS36" s="30">
        <f t="shared" si="62"/>
        <v>37.194720937959815</v>
      </c>
      <c r="AT36" s="29">
        <f t="shared" si="112"/>
        <v>37.740909278766992</v>
      </c>
      <c r="AU36" s="30">
        <f t="shared" si="62"/>
        <v>37.679844795534962</v>
      </c>
      <c r="AV36" s="29">
        <f t="shared" si="112"/>
        <v>37.952938965938543</v>
      </c>
      <c r="AW36" s="30">
        <f t="shared" si="62"/>
        <v>37.767464730985488</v>
      </c>
      <c r="AX36" s="29">
        <f t="shared" si="112"/>
        <v>38.040558901389076</v>
      </c>
      <c r="AY36" s="30">
        <f t="shared" si="62"/>
        <v>37.973170170121122</v>
      </c>
      <c r="AZ36" s="29">
        <f t="shared" si="112"/>
        <v>38.155232950390179</v>
      </c>
      <c r="BA36" s="30">
        <f t="shared" si="62"/>
        <v>37.965912483893163</v>
      </c>
      <c r="BB36" s="29">
        <f t="shared" si="112"/>
        <v>38.147975264162227</v>
      </c>
      <c r="BC36" s="30">
        <f t="shared" si="62"/>
        <v>38.075400051354293</v>
      </c>
      <c r="BD36" s="29">
        <f t="shared" si="112"/>
        <v>38.25746283162335</v>
      </c>
      <c r="BE36" s="30">
        <f t="shared" si="62"/>
        <v>38.066939162352696</v>
      </c>
      <c r="BF36" s="29">
        <f t="shared" si="112"/>
        <v>38.157970552487221</v>
      </c>
      <c r="BG36" s="30">
        <f t="shared" si="62"/>
        <v>38.081853365122996</v>
      </c>
      <c r="BH36" s="29">
        <f t="shared" si="112"/>
        <v>38.172884755257527</v>
      </c>
    </row>
    <row r="37" spans="2:60" x14ac:dyDescent="0.3">
      <c r="B37" s="23"/>
      <c r="C37" s="27"/>
      <c r="D37" s="31">
        <f t="shared" si="52"/>
        <v>1.599999999999995</v>
      </c>
      <c r="E37" s="28">
        <v>0</v>
      </c>
      <c r="F37" s="29">
        <f t="shared" si="113"/>
        <v>16.385650224215247</v>
      </c>
      <c r="G37" s="5">
        <f t="shared" si="114"/>
        <v>16.385650224215247</v>
      </c>
      <c r="H37" s="29">
        <f t="shared" si="115"/>
        <v>20.026905829596412</v>
      </c>
      <c r="I37" s="28">
        <f t="shared" si="2"/>
        <v>20.026905829596412</v>
      </c>
      <c r="J37" s="29">
        <f t="shared" si="116"/>
        <v>24.032286995515694</v>
      </c>
      <c r="K37" s="30">
        <f t="shared" si="54"/>
        <v>24.032286995515694</v>
      </c>
      <c r="L37" s="29">
        <f t="shared" si="117"/>
        <v>25.306726457399105</v>
      </c>
      <c r="M37" s="30">
        <f t="shared" si="54"/>
        <v>25.306726457399105</v>
      </c>
      <c r="N37" s="29">
        <f t="shared" si="117"/>
        <v>26.945291479820629</v>
      </c>
      <c r="O37" s="30">
        <f t="shared" si="54"/>
        <v>26.945291479820629</v>
      </c>
      <c r="P37" s="29">
        <f t="shared" si="117"/>
        <v>28.583856502242153</v>
      </c>
      <c r="Q37" s="30">
        <f t="shared" si="54"/>
        <v>28.583856502242153</v>
      </c>
      <c r="R37" s="29">
        <f t="shared" si="117"/>
        <v>30.04035874439462</v>
      </c>
      <c r="S37" s="30">
        <f t="shared" si="54"/>
        <v>29.97635229820628</v>
      </c>
      <c r="T37" s="29">
        <f t="shared" si="117"/>
        <v>30.70460341928251</v>
      </c>
      <c r="U37" s="30">
        <f t="shared" si="54"/>
        <v>30.69037976457399</v>
      </c>
      <c r="V37" s="29">
        <f t="shared" si="117"/>
        <v>31.60069366591928</v>
      </c>
      <c r="W37" s="30">
        <f t="shared" si="54"/>
        <v>31.47303636491031</v>
      </c>
      <c r="X37" s="29">
        <f t="shared" si="117"/>
        <v>32.201287485986541</v>
      </c>
      <c r="Y37" s="30">
        <f t="shared" si="54"/>
        <v>32.17141781109865</v>
      </c>
      <c r="Z37" s="29">
        <f t="shared" si="117"/>
        <v>32.53554337163677</v>
      </c>
      <c r="AA37" s="30">
        <f t="shared" si="62"/>
        <v>32.361748090667035</v>
      </c>
      <c r="AB37" s="29">
        <f t="shared" si="112"/>
        <v>32.998967821608737</v>
      </c>
      <c r="AC37" s="30">
        <f t="shared" si="62"/>
        <v>32.952740943806049</v>
      </c>
      <c r="AD37" s="29">
        <f t="shared" si="112"/>
        <v>33.772023455016814</v>
      </c>
      <c r="AE37" s="30">
        <f t="shared" si="62"/>
        <v>33.56689168476737</v>
      </c>
      <c r="AF37" s="29">
        <f t="shared" si="112"/>
        <v>34.841331146650774</v>
      </c>
      <c r="AG37" s="30">
        <f t="shared" si="62"/>
        <v>34.782169632847527</v>
      </c>
      <c r="AH37" s="29">
        <f t="shared" si="112"/>
        <v>35.692483534192817</v>
      </c>
      <c r="AI37" s="30">
        <f t="shared" si="62"/>
        <v>35.468055376129826</v>
      </c>
      <c r="AJ37" s="29">
        <f t="shared" si="112"/>
        <v>36.01424371693701</v>
      </c>
      <c r="AK37" s="30">
        <f t="shared" si="62"/>
        <v>35.945047859226108</v>
      </c>
      <c r="AL37" s="29">
        <f t="shared" si="112"/>
        <v>36.309173419764221</v>
      </c>
      <c r="AM37" s="30">
        <f t="shared" si="62"/>
        <v>36.07548321779533</v>
      </c>
      <c r="AN37" s="29">
        <f t="shared" si="112"/>
        <v>36.621671558602507</v>
      </c>
      <c r="AO37" s="30">
        <f t="shared" si="62"/>
        <v>36.544799927852608</v>
      </c>
      <c r="AP37" s="29">
        <f t="shared" si="112"/>
        <v>36.726862708121658</v>
      </c>
      <c r="AQ37" s="30">
        <f t="shared" si="62"/>
        <v>36.48864288330077</v>
      </c>
      <c r="AR37" s="29">
        <f t="shared" si="112"/>
        <v>36.670705663569834</v>
      </c>
      <c r="AS37" s="30">
        <f t="shared" si="62"/>
        <v>36.585277615534345</v>
      </c>
      <c r="AT37" s="29">
        <f t="shared" si="112"/>
        <v>37.131465956341522</v>
      </c>
      <c r="AU37" s="30">
        <f t="shared" si="62"/>
        <v>36.890953539519032</v>
      </c>
      <c r="AV37" s="29">
        <f t="shared" si="112"/>
        <v>37.164047709922613</v>
      </c>
      <c r="AW37" s="30">
        <f t="shared" si="62"/>
        <v>37.072108589480266</v>
      </c>
      <c r="AX37" s="29">
        <f t="shared" si="112"/>
        <v>37.345202759883854</v>
      </c>
      <c r="AY37" s="30">
        <f t="shared" si="62"/>
        <v>37.105751517642233</v>
      </c>
      <c r="AZ37" s="29">
        <f t="shared" si="112"/>
        <v>37.287814297911289</v>
      </c>
      <c r="BA37" s="30">
        <f t="shared" si="62"/>
        <v>37.191125653998192</v>
      </c>
      <c r="BB37" s="29">
        <f t="shared" si="112"/>
        <v>37.373188434267256</v>
      </c>
      <c r="BC37" s="30">
        <f t="shared" si="62"/>
        <v>37.137797860313427</v>
      </c>
      <c r="BD37" s="29">
        <f t="shared" si="112"/>
        <v>37.319860640582483</v>
      </c>
      <c r="BE37" s="30">
        <f t="shared" si="62"/>
        <v>37.221039457679325</v>
      </c>
      <c r="BF37" s="29">
        <f t="shared" si="112"/>
        <v>37.31207084781385</v>
      </c>
      <c r="BG37" s="30">
        <f t="shared" ref="BC37:BG52" si="118">(BF38+BF36)/2</f>
        <v>37.081160058522165</v>
      </c>
      <c r="BH37" s="29">
        <f t="shared" si="112"/>
        <v>37.172191448656697</v>
      </c>
    </row>
    <row r="38" spans="2:60" x14ac:dyDescent="0.3">
      <c r="B38" s="23"/>
      <c r="C38" s="27"/>
      <c r="D38" s="31">
        <f t="shared" si="52"/>
        <v>1.399999999999995</v>
      </c>
      <c r="E38" s="28">
        <v>0</v>
      </c>
      <c r="F38" s="29">
        <f t="shared" si="113"/>
        <v>16.385650224215247</v>
      </c>
      <c r="G38" s="5">
        <f t="shared" si="114"/>
        <v>16.385650224215247</v>
      </c>
      <c r="H38" s="29">
        <f t="shared" si="115"/>
        <v>20.026905829596412</v>
      </c>
      <c r="I38" s="28">
        <f t="shared" si="2"/>
        <v>20.026905829596412</v>
      </c>
      <c r="J38" s="29">
        <f t="shared" si="116"/>
        <v>24.032286995515694</v>
      </c>
      <c r="K38" s="30">
        <f t="shared" si="54"/>
        <v>24.032286995515694</v>
      </c>
      <c r="L38" s="29">
        <f t="shared" si="117"/>
        <v>25.306726457399105</v>
      </c>
      <c r="M38" s="30">
        <f t="shared" si="54"/>
        <v>25.306726457399105</v>
      </c>
      <c r="N38" s="29">
        <f t="shared" si="117"/>
        <v>26.945291479820629</v>
      </c>
      <c r="O38" s="30">
        <f t="shared" si="54"/>
        <v>26.945291479820629</v>
      </c>
      <c r="P38" s="29">
        <f t="shared" si="117"/>
        <v>28.583856502242153</v>
      </c>
      <c r="Q38" s="30">
        <f t="shared" si="54"/>
        <v>28.455843609865468</v>
      </c>
      <c r="R38" s="29">
        <f t="shared" si="117"/>
        <v>29.912345852017935</v>
      </c>
      <c r="S38" s="30">
        <f t="shared" si="54"/>
        <v>29.883898542600896</v>
      </c>
      <c r="T38" s="29">
        <f t="shared" si="117"/>
        <v>30.612149663677126</v>
      </c>
      <c r="U38" s="30">
        <f t="shared" si="54"/>
        <v>30.388838284753362</v>
      </c>
      <c r="V38" s="29">
        <f t="shared" si="117"/>
        <v>31.299152186098652</v>
      </c>
      <c r="W38" s="30">
        <f t="shared" si="54"/>
        <v>31.246524663677128</v>
      </c>
      <c r="X38" s="29">
        <f t="shared" si="117"/>
        <v>31.974775784753362</v>
      </c>
      <c r="Y38" s="30">
        <f t="shared" si="54"/>
        <v>31.699014679091924</v>
      </c>
      <c r="Z38" s="29">
        <f t="shared" si="117"/>
        <v>32.063140239630044</v>
      </c>
      <c r="AA38" s="30">
        <f t="shared" ref="AA38:AO53" si="119">(Z39+Z37)/2</f>
        <v>31.987399278307173</v>
      </c>
      <c r="AB38" s="29">
        <f t="shared" si="112"/>
        <v>32.624619009248875</v>
      </c>
      <c r="AC38" s="30">
        <f t="shared" si="119"/>
        <v>32.321210674747753</v>
      </c>
      <c r="AD38" s="29">
        <f t="shared" si="112"/>
        <v>33.140493185958519</v>
      </c>
      <c r="AE38" s="30">
        <f t="shared" si="119"/>
        <v>33.049906285033629</v>
      </c>
      <c r="AF38" s="29">
        <f t="shared" si="112"/>
        <v>34.324345746917032</v>
      </c>
      <c r="AG38" s="30">
        <f t="shared" si="119"/>
        <v>34.010258559154281</v>
      </c>
      <c r="AH38" s="29">
        <f t="shared" si="112"/>
        <v>34.920572460499571</v>
      </c>
      <c r="AI38" s="30">
        <f t="shared" si="119"/>
        <v>34.819962327897272</v>
      </c>
      <c r="AJ38" s="29">
        <f t="shared" si="112"/>
        <v>35.366150668704456</v>
      </c>
      <c r="AK38" s="30">
        <f t="shared" si="119"/>
        <v>35.054224809723586</v>
      </c>
      <c r="AL38" s="29">
        <f t="shared" si="112"/>
        <v>35.418350370261699</v>
      </c>
      <c r="AM38" s="30">
        <f t="shared" si="119"/>
        <v>35.311045118939177</v>
      </c>
      <c r="AN38" s="29">
        <f t="shared" si="112"/>
        <v>35.857233459746354</v>
      </c>
      <c r="AO38" s="30">
        <f t="shared" si="119"/>
        <v>35.55010530617205</v>
      </c>
      <c r="AP38" s="29">
        <f t="shared" si="112"/>
        <v>35.732168086441099</v>
      </c>
      <c r="AQ38" s="30">
        <f t="shared" ref="AQ38:BE53" si="120">(AP39+AP37)/2</f>
        <v>35.615009064952346</v>
      </c>
      <c r="AR38" s="29">
        <f t="shared" si="112"/>
        <v>35.79707184522141</v>
      </c>
      <c r="AS38" s="30">
        <f t="shared" si="120"/>
        <v>35.494809459463895</v>
      </c>
      <c r="AT38" s="29">
        <f t="shared" si="112"/>
        <v>36.040997800271072</v>
      </c>
      <c r="AU38" s="30">
        <f t="shared" si="120"/>
        <v>35.918184042618407</v>
      </c>
      <c r="AV38" s="29">
        <f t="shared" si="112"/>
        <v>36.191278213021988</v>
      </c>
      <c r="AW38" s="30">
        <f t="shared" si="120"/>
        <v>35.897849963491801</v>
      </c>
      <c r="AX38" s="29">
        <f t="shared" si="112"/>
        <v>36.170944133895389</v>
      </c>
      <c r="AY38" s="30">
        <f t="shared" si="120"/>
        <v>36.044955577337149</v>
      </c>
      <c r="AZ38" s="29">
        <f t="shared" si="112"/>
        <v>36.227018357606205</v>
      </c>
      <c r="BA38" s="30">
        <f t="shared" si="120"/>
        <v>35.945557676195556</v>
      </c>
      <c r="BB38" s="29">
        <f t="shared" si="112"/>
        <v>36.127620456464619</v>
      </c>
      <c r="BC38" s="30">
        <f t="shared" si="120"/>
        <v>36.002553303466243</v>
      </c>
      <c r="BD38" s="29">
        <f t="shared" si="112"/>
        <v>36.1846160837353</v>
      </c>
      <c r="BE38" s="30">
        <f t="shared" si="120"/>
        <v>35.913318174422585</v>
      </c>
      <c r="BF38" s="29">
        <f t="shared" si="112"/>
        <v>36.00434956455711</v>
      </c>
      <c r="BG38" s="30">
        <f t="shared" si="118"/>
        <v>35.881523256812386</v>
      </c>
      <c r="BH38" s="29">
        <f t="shared" si="112"/>
        <v>35.972554646946918</v>
      </c>
    </row>
    <row r="39" spans="2:60" x14ac:dyDescent="0.3">
      <c r="B39" s="23"/>
      <c r="C39" s="27"/>
      <c r="D39" s="31">
        <f t="shared" si="52"/>
        <v>1.1999999999999951</v>
      </c>
      <c r="E39" s="28">
        <v>0</v>
      </c>
      <c r="F39" s="29">
        <f t="shared" si="113"/>
        <v>16.385650224215247</v>
      </c>
      <c r="G39" s="5">
        <f t="shared" si="114"/>
        <v>16.385650224215247</v>
      </c>
      <c r="H39" s="29">
        <f t="shared" si="115"/>
        <v>20.026905829596412</v>
      </c>
      <c r="I39" s="28">
        <f t="shared" si="2"/>
        <v>20.026905829596412</v>
      </c>
      <c r="J39" s="29">
        <f t="shared" si="116"/>
        <v>24.032286995515694</v>
      </c>
      <c r="K39" s="30">
        <f t="shared" ref="K39:Y84" si="121">(J40+J38)/2</f>
        <v>24.032286995515694</v>
      </c>
      <c r="L39" s="29">
        <f t="shared" si="117"/>
        <v>25.306726457399105</v>
      </c>
      <c r="M39" s="30">
        <f t="shared" ref="M39:AA53" si="122">(L40+L38)/2</f>
        <v>25.306726457399105</v>
      </c>
      <c r="N39" s="29">
        <f t="shared" si="117"/>
        <v>26.945291479820629</v>
      </c>
      <c r="O39" s="30">
        <f t="shared" si="122"/>
        <v>26.689265695067263</v>
      </c>
      <c r="P39" s="29">
        <f t="shared" si="117"/>
        <v>28.327830717488787</v>
      </c>
      <c r="Q39" s="30">
        <f t="shared" si="122"/>
        <v>28.270936098654708</v>
      </c>
      <c r="R39" s="29">
        <f t="shared" si="117"/>
        <v>29.727438340807176</v>
      </c>
      <c r="S39" s="30">
        <f t="shared" si="122"/>
        <v>29.344822029147981</v>
      </c>
      <c r="T39" s="29">
        <f t="shared" si="117"/>
        <v>30.073073150224211</v>
      </c>
      <c r="U39" s="30">
        <f t="shared" si="122"/>
        <v>29.982041760089682</v>
      </c>
      <c r="V39" s="29">
        <f t="shared" si="117"/>
        <v>30.892355661434973</v>
      </c>
      <c r="W39" s="30">
        <f t="shared" si="122"/>
        <v>30.468490751121074</v>
      </c>
      <c r="X39" s="29">
        <f t="shared" si="117"/>
        <v>31.196741872197308</v>
      </c>
      <c r="Y39" s="30">
        <f t="shared" si="122"/>
        <v>31.075129624439459</v>
      </c>
      <c r="Z39" s="29">
        <f t="shared" si="117"/>
        <v>31.439255184977579</v>
      </c>
      <c r="AA39" s="30">
        <f t="shared" si="122"/>
        <v>31.006233796945068</v>
      </c>
      <c r="AB39" s="29">
        <f t="shared" si="112"/>
        <v>31.64345352788677</v>
      </c>
      <c r="AC39" s="30">
        <f t="shared" si="119"/>
        <v>31.508506603839685</v>
      </c>
      <c r="AD39" s="29">
        <f t="shared" si="112"/>
        <v>32.32778911505045</v>
      </c>
      <c r="AE39" s="30">
        <f t="shared" si="119"/>
        <v>31.904746509774384</v>
      </c>
      <c r="AF39" s="29">
        <f t="shared" si="112"/>
        <v>33.179185971657787</v>
      </c>
      <c r="AG39" s="30">
        <f t="shared" si="119"/>
        <v>33.037127220256437</v>
      </c>
      <c r="AH39" s="29">
        <f t="shared" si="112"/>
        <v>33.947441121601727</v>
      </c>
      <c r="AI39" s="30">
        <f t="shared" si="119"/>
        <v>33.548017561702977</v>
      </c>
      <c r="AJ39" s="29">
        <f t="shared" si="112"/>
        <v>34.094205902510161</v>
      </c>
      <c r="AK39" s="30">
        <f t="shared" si="119"/>
        <v>33.948791257576019</v>
      </c>
      <c r="AL39" s="29">
        <f t="shared" si="112"/>
        <v>34.312916818114132</v>
      </c>
      <c r="AM39" s="30">
        <f t="shared" si="119"/>
        <v>33.932350712934415</v>
      </c>
      <c r="AN39" s="29">
        <f t="shared" si="112"/>
        <v>34.478539053741592</v>
      </c>
      <c r="AO39" s="30">
        <f t="shared" si="119"/>
        <v>34.321092641513978</v>
      </c>
      <c r="AP39" s="29">
        <f t="shared" si="112"/>
        <v>34.503155421783028</v>
      </c>
      <c r="AQ39" s="30">
        <f t="shared" si="120"/>
        <v>34.136850475088892</v>
      </c>
      <c r="AR39" s="29">
        <f t="shared" si="112"/>
        <v>34.318913255357955</v>
      </c>
      <c r="AS39" s="30">
        <f t="shared" si="120"/>
        <v>34.158713788088122</v>
      </c>
      <c r="AT39" s="29">
        <f t="shared" si="112"/>
        <v>34.704902128895299</v>
      </c>
      <c r="AU39" s="30">
        <f t="shared" si="120"/>
        <v>34.358558046657407</v>
      </c>
      <c r="AV39" s="29">
        <f t="shared" si="112"/>
        <v>34.631652217060989</v>
      </c>
      <c r="AW39" s="30">
        <f t="shared" si="120"/>
        <v>34.471614224386848</v>
      </c>
      <c r="AX39" s="29">
        <f t="shared" si="112"/>
        <v>34.744708394790436</v>
      </c>
      <c r="AY39" s="30">
        <f t="shared" si="120"/>
        <v>34.421238274210765</v>
      </c>
      <c r="AZ39" s="29">
        <f t="shared" si="112"/>
        <v>34.603301054479822</v>
      </c>
      <c r="BA39" s="30">
        <f t="shared" si="120"/>
        <v>34.449855392396174</v>
      </c>
      <c r="BB39" s="29">
        <f t="shared" si="112"/>
        <v>34.631918172665237</v>
      </c>
      <c r="BC39" s="30">
        <f t="shared" si="118"/>
        <v>34.32471292799363</v>
      </c>
      <c r="BD39" s="29">
        <f t="shared" si="112"/>
        <v>34.506775708262687</v>
      </c>
      <c r="BE39" s="30">
        <f t="shared" si="118"/>
        <v>34.359944275676398</v>
      </c>
      <c r="BF39" s="29">
        <f t="shared" si="112"/>
        <v>34.450975665810923</v>
      </c>
      <c r="BG39" s="30">
        <f t="shared" si="118"/>
        <v>34.160883140410263</v>
      </c>
      <c r="BH39" s="29">
        <f t="shared" si="112"/>
        <v>34.251914530544795</v>
      </c>
    </row>
    <row r="40" spans="2:60" x14ac:dyDescent="0.3">
      <c r="B40" s="23"/>
      <c r="C40" s="27"/>
      <c r="D40" s="31">
        <f t="shared" si="52"/>
        <v>0.99999999999999512</v>
      </c>
      <c r="E40" s="28">
        <v>0</v>
      </c>
      <c r="F40" s="29">
        <f t="shared" si="113"/>
        <v>16.385650224215247</v>
      </c>
      <c r="G40" s="5">
        <f t="shared" si="114"/>
        <v>16.385650224215247</v>
      </c>
      <c r="H40" s="29">
        <f t="shared" si="115"/>
        <v>20.026905829596412</v>
      </c>
      <c r="I40" s="28">
        <f t="shared" si="2"/>
        <v>20.026905829596412</v>
      </c>
      <c r="J40" s="29">
        <f t="shared" si="116"/>
        <v>24.032286995515694</v>
      </c>
      <c r="K40" s="30">
        <f t="shared" si="121"/>
        <v>24.032286995515694</v>
      </c>
      <c r="L40" s="29">
        <f t="shared" si="117"/>
        <v>25.306726457399105</v>
      </c>
      <c r="M40" s="30">
        <f t="shared" si="122"/>
        <v>24.794674887892377</v>
      </c>
      <c r="N40" s="29">
        <f t="shared" si="117"/>
        <v>26.433239910313901</v>
      </c>
      <c r="O40" s="30">
        <f t="shared" si="122"/>
        <v>26.319450672645743</v>
      </c>
      <c r="P40" s="29">
        <f t="shared" si="117"/>
        <v>27.958015695067267</v>
      </c>
      <c r="Q40" s="30">
        <f t="shared" si="122"/>
        <v>27.320795964125558</v>
      </c>
      <c r="R40" s="29">
        <f t="shared" si="117"/>
        <v>28.777298206278026</v>
      </c>
      <c r="S40" s="30">
        <f t="shared" si="122"/>
        <v>28.623682735426009</v>
      </c>
      <c r="T40" s="29">
        <f t="shared" si="117"/>
        <v>29.351933856502239</v>
      </c>
      <c r="U40" s="30">
        <f t="shared" si="122"/>
        <v>28.727515414798205</v>
      </c>
      <c r="V40" s="29">
        <f t="shared" si="117"/>
        <v>29.637829316143495</v>
      </c>
      <c r="W40" s="30">
        <f t="shared" si="122"/>
        <v>29.447232343049322</v>
      </c>
      <c r="X40" s="29">
        <f t="shared" si="117"/>
        <v>30.175483464125556</v>
      </c>
      <c r="Y40" s="30">
        <f t="shared" si="122"/>
        <v>29.585201793721971</v>
      </c>
      <c r="Z40" s="29">
        <f t="shared" si="117"/>
        <v>29.949327354260092</v>
      </c>
      <c r="AA40" s="30">
        <f t="shared" si="122"/>
        <v>29.755174467488793</v>
      </c>
      <c r="AB40" s="29">
        <f t="shared" si="112"/>
        <v>30.392394198430495</v>
      </c>
      <c r="AC40" s="30">
        <f t="shared" si="119"/>
        <v>29.849717322379483</v>
      </c>
      <c r="AD40" s="29">
        <f t="shared" si="112"/>
        <v>30.668999833590249</v>
      </c>
      <c r="AE40" s="30">
        <f t="shared" si="119"/>
        <v>30.475469231712445</v>
      </c>
      <c r="AF40" s="29">
        <f t="shared" si="112"/>
        <v>31.749908693595849</v>
      </c>
      <c r="AG40" s="30">
        <f t="shared" si="119"/>
        <v>31.265148761561093</v>
      </c>
      <c r="AH40" s="29">
        <f t="shared" si="112"/>
        <v>32.175462662906384</v>
      </c>
      <c r="AI40" s="30">
        <f t="shared" si="119"/>
        <v>31.985243505640408</v>
      </c>
      <c r="AJ40" s="29">
        <f t="shared" si="112"/>
        <v>32.531431846447589</v>
      </c>
      <c r="AK40" s="30">
        <f t="shared" si="119"/>
        <v>32.082225495069018</v>
      </c>
      <c r="AL40" s="29">
        <f t="shared" si="112"/>
        <v>32.446351055607131</v>
      </c>
      <c r="AM40" s="30">
        <f t="shared" si="119"/>
        <v>32.238763482474425</v>
      </c>
      <c r="AN40" s="29">
        <f t="shared" si="112"/>
        <v>32.784951823281602</v>
      </c>
      <c r="AO40" s="30">
        <f t="shared" si="119"/>
        <v>32.359470083467627</v>
      </c>
      <c r="AP40" s="29">
        <f t="shared" si="112"/>
        <v>32.541532863736677</v>
      </c>
      <c r="AQ40" s="30">
        <f t="shared" si="120"/>
        <v>32.338292950685776</v>
      </c>
      <c r="AR40" s="29">
        <f t="shared" si="112"/>
        <v>32.52035573095484</v>
      </c>
      <c r="AS40" s="30">
        <f t="shared" si="120"/>
        <v>32.129929952236566</v>
      </c>
      <c r="AT40" s="29">
        <f t="shared" si="112"/>
        <v>32.676118293043743</v>
      </c>
      <c r="AU40" s="30">
        <f t="shared" si="120"/>
        <v>32.478856065348126</v>
      </c>
      <c r="AV40" s="29">
        <f t="shared" si="112"/>
        <v>32.751950235751707</v>
      </c>
      <c r="AW40" s="30">
        <f t="shared" si="120"/>
        <v>32.398438244122552</v>
      </c>
      <c r="AX40" s="29">
        <f t="shared" si="112"/>
        <v>32.671532414526141</v>
      </c>
      <c r="AY40" s="30">
        <f t="shared" si="120"/>
        <v>32.490629646917085</v>
      </c>
      <c r="AZ40" s="29">
        <f t="shared" si="112"/>
        <v>32.672692427186142</v>
      </c>
      <c r="BA40" s="30">
        <f t="shared" si="120"/>
        <v>32.339742619253585</v>
      </c>
      <c r="BB40" s="29">
        <f t="shared" si="112"/>
        <v>32.521805399522648</v>
      </c>
      <c r="BC40" s="30">
        <f t="shared" si="120"/>
        <v>32.353209687348439</v>
      </c>
      <c r="BD40" s="29">
        <f t="shared" si="112"/>
        <v>32.535272467617496</v>
      </c>
      <c r="BE40" s="30">
        <f t="shared" si="120"/>
        <v>32.226385326128899</v>
      </c>
      <c r="BF40" s="29">
        <f t="shared" si="112"/>
        <v>32.317416716263423</v>
      </c>
      <c r="BG40" s="30">
        <f t="shared" si="118"/>
        <v>32.161532592452687</v>
      </c>
      <c r="BH40" s="29">
        <f t="shared" si="112"/>
        <v>32.252563982587219</v>
      </c>
    </row>
    <row r="41" spans="2:60" x14ac:dyDescent="0.3">
      <c r="B41" s="23"/>
      <c r="C41" s="27"/>
      <c r="D41" s="31">
        <f t="shared" si="52"/>
        <v>0.79999999999999516</v>
      </c>
      <c r="E41" s="28">
        <v>0</v>
      </c>
      <c r="F41" s="29">
        <f t="shared" si="113"/>
        <v>16.385650224215247</v>
      </c>
      <c r="G41" s="5">
        <f t="shared" si="114"/>
        <v>16.385650224215247</v>
      </c>
      <c r="H41" s="29">
        <f t="shared" si="115"/>
        <v>20.026905829596412</v>
      </c>
      <c r="I41" s="28">
        <f t="shared" si="2"/>
        <v>20.026905829596412</v>
      </c>
      <c r="J41" s="29">
        <f t="shared" si="116"/>
        <v>24.032286995515694</v>
      </c>
      <c r="K41" s="30">
        <f t="shared" si="121"/>
        <v>23.008183856502242</v>
      </c>
      <c r="L41" s="29">
        <f t="shared" si="117"/>
        <v>24.282623318385653</v>
      </c>
      <c r="M41" s="30">
        <f t="shared" si="122"/>
        <v>24.05504484304933</v>
      </c>
      <c r="N41" s="29">
        <f t="shared" si="117"/>
        <v>25.693609865470854</v>
      </c>
      <c r="O41" s="30">
        <f t="shared" si="122"/>
        <v>24.675196188340806</v>
      </c>
      <c r="P41" s="29">
        <f t="shared" si="117"/>
        <v>26.31376121076233</v>
      </c>
      <c r="Q41" s="30">
        <f t="shared" si="122"/>
        <v>26.063424887892378</v>
      </c>
      <c r="R41" s="29">
        <f t="shared" si="117"/>
        <v>27.519927130044845</v>
      </c>
      <c r="S41" s="30">
        <f t="shared" si="122"/>
        <v>26.653706558295966</v>
      </c>
      <c r="T41" s="29">
        <f t="shared" si="117"/>
        <v>27.381957679372196</v>
      </c>
      <c r="U41" s="30">
        <f t="shared" si="122"/>
        <v>27.091795123318384</v>
      </c>
      <c r="V41" s="29">
        <f t="shared" si="117"/>
        <v>28.002109024663675</v>
      </c>
      <c r="W41" s="30">
        <f t="shared" si="122"/>
        <v>27.245410594170401</v>
      </c>
      <c r="X41" s="29">
        <f t="shared" si="117"/>
        <v>27.973661715246635</v>
      </c>
      <c r="Y41" s="30">
        <f t="shared" si="122"/>
        <v>27.706968189461882</v>
      </c>
      <c r="Z41" s="29">
        <f t="shared" si="117"/>
        <v>28.071093750000003</v>
      </c>
      <c r="AA41" s="30">
        <f t="shared" si="122"/>
        <v>27.418761385930495</v>
      </c>
      <c r="AB41" s="29">
        <f t="shared" si="112"/>
        <v>28.055981116872196</v>
      </c>
      <c r="AC41" s="30">
        <f t="shared" si="119"/>
        <v>27.803866837163678</v>
      </c>
      <c r="AD41" s="29">
        <f t="shared" si="112"/>
        <v>28.623149348374444</v>
      </c>
      <c r="AE41" s="30">
        <f t="shared" si="119"/>
        <v>28.076672089580999</v>
      </c>
      <c r="AF41" s="29">
        <f t="shared" si="112"/>
        <v>29.351111551464403</v>
      </c>
      <c r="AG41" s="30">
        <f t="shared" si="119"/>
        <v>29.112731988333799</v>
      </c>
      <c r="AH41" s="29">
        <f t="shared" si="112"/>
        <v>30.023045889679089</v>
      </c>
      <c r="AI41" s="30">
        <f t="shared" si="119"/>
        <v>29.52405674682069</v>
      </c>
      <c r="AJ41" s="29">
        <f t="shared" si="112"/>
        <v>30.070245087627875</v>
      </c>
      <c r="AK41" s="30">
        <f t="shared" si="119"/>
        <v>29.800484586296598</v>
      </c>
      <c r="AL41" s="29">
        <f t="shared" si="112"/>
        <v>30.164610146834711</v>
      </c>
      <c r="AM41" s="30">
        <f t="shared" si="119"/>
        <v>29.694212772386493</v>
      </c>
      <c r="AN41" s="29">
        <f t="shared" si="112"/>
        <v>30.24040111319367</v>
      </c>
      <c r="AO41" s="30">
        <f t="shared" si="119"/>
        <v>29.991367699319476</v>
      </c>
      <c r="AP41" s="29">
        <f t="shared" si="112"/>
        <v>30.173430479588525</v>
      </c>
      <c r="AQ41" s="30">
        <f t="shared" si="120"/>
        <v>29.758883868846116</v>
      </c>
      <c r="AR41" s="29">
        <f t="shared" si="112"/>
        <v>29.94094664911518</v>
      </c>
      <c r="AS41" s="30">
        <f t="shared" si="120"/>
        <v>29.706621660993772</v>
      </c>
      <c r="AT41" s="29">
        <f t="shared" si="112"/>
        <v>30.252810001800949</v>
      </c>
      <c r="AU41" s="30">
        <f t="shared" si="120"/>
        <v>29.892130100780538</v>
      </c>
      <c r="AV41" s="29">
        <f t="shared" si="112"/>
        <v>30.165224271184119</v>
      </c>
      <c r="AW41" s="30">
        <f t="shared" si="120"/>
        <v>29.963456728640153</v>
      </c>
      <c r="AX41" s="29">
        <f t="shared" si="112"/>
        <v>30.236550899043742</v>
      </c>
      <c r="AY41" s="30">
        <f t="shared" si="120"/>
        <v>29.894121403758295</v>
      </c>
      <c r="AZ41" s="29">
        <f t="shared" si="112"/>
        <v>30.076184184027351</v>
      </c>
      <c r="BA41" s="30">
        <f t="shared" si="120"/>
        <v>29.89243842176257</v>
      </c>
      <c r="BB41" s="29">
        <f t="shared" si="112"/>
        <v>30.074501202031634</v>
      </c>
      <c r="BC41" s="30">
        <f t="shared" si="120"/>
        <v>29.76393216372605</v>
      </c>
      <c r="BD41" s="29">
        <f t="shared" si="112"/>
        <v>29.945994943995107</v>
      </c>
      <c r="BE41" s="30">
        <f t="shared" si="120"/>
        <v>29.781058128959927</v>
      </c>
      <c r="BF41" s="29">
        <f t="shared" si="112"/>
        <v>29.872089519094452</v>
      </c>
      <c r="BG41" s="30">
        <f t="shared" si="118"/>
        <v>29.592601231422115</v>
      </c>
      <c r="BH41" s="29">
        <f t="shared" si="112"/>
        <v>29.683632621556647</v>
      </c>
    </row>
    <row r="42" spans="2:60" x14ac:dyDescent="0.3">
      <c r="B42" s="23"/>
      <c r="C42" s="27"/>
      <c r="D42" s="31">
        <f t="shared" si="52"/>
        <v>0.5999999999999952</v>
      </c>
      <c r="E42" s="28">
        <v>0</v>
      </c>
      <c r="F42" s="29">
        <f t="shared" si="113"/>
        <v>16.385650224215247</v>
      </c>
      <c r="G42" s="5">
        <f>(F41+F43)/2</f>
        <v>16.385650224215247</v>
      </c>
      <c r="H42" s="29">
        <f>G42+H$3</f>
        <v>20.026905829596412</v>
      </c>
      <c r="I42" s="28">
        <f t="shared" si="2"/>
        <v>17.978699551569505</v>
      </c>
      <c r="J42" s="29">
        <f t="shared" si="116"/>
        <v>21.984080717488787</v>
      </c>
      <c r="K42" s="30">
        <f t="shared" si="121"/>
        <v>21.528923766816142</v>
      </c>
      <c r="L42" s="29">
        <f t="shared" si="117"/>
        <v>22.803363228699553</v>
      </c>
      <c r="M42" s="30">
        <f t="shared" si="122"/>
        <v>21.27858744394619</v>
      </c>
      <c r="N42" s="29">
        <f t="shared" si="117"/>
        <v>22.917152466367714</v>
      </c>
      <c r="O42" s="30">
        <f t="shared" si="122"/>
        <v>22.530269058295964</v>
      </c>
      <c r="P42" s="29">
        <f t="shared" si="117"/>
        <v>24.168834080717488</v>
      </c>
      <c r="Q42" s="30">
        <f t="shared" si="122"/>
        <v>23.073612668161434</v>
      </c>
      <c r="R42" s="29">
        <f t="shared" si="117"/>
        <v>24.530114910313902</v>
      </c>
      <c r="S42" s="30">
        <f t="shared" si="122"/>
        <v>24.1034052690583</v>
      </c>
      <c r="T42" s="29">
        <f t="shared" si="117"/>
        <v>24.83165639013453</v>
      </c>
      <c r="U42" s="30">
        <f t="shared" si="122"/>
        <v>23.942677970852017</v>
      </c>
      <c r="V42" s="29">
        <f t="shared" si="117"/>
        <v>24.852991872197308</v>
      </c>
      <c r="W42" s="30">
        <f t="shared" si="122"/>
        <v>24.510201793721972</v>
      </c>
      <c r="X42" s="29">
        <f t="shared" si="117"/>
        <v>25.238452914798206</v>
      </c>
      <c r="Y42" s="30">
        <f t="shared" si="122"/>
        <v>24.524069857062777</v>
      </c>
      <c r="Z42" s="29">
        <f t="shared" si="117"/>
        <v>24.888195417600897</v>
      </c>
      <c r="AA42" s="30">
        <f t="shared" si="122"/>
        <v>24.57811974495516</v>
      </c>
      <c r="AB42" s="29">
        <f t="shared" ref="AB42:AP43" si="123">AA42+AB$3</f>
        <v>25.215339475896862</v>
      </c>
      <c r="AC42" s="30">
        <f t="shared" si="119"/>
        <v>24.665061834360984</v>
      </c>
      <c r="AD42" s="29">
        <f t="shared" si="123"/>
        <v>25.484344345571749</v>
      </c>
      <c r="AE42" s="30">
        <f t="shared" si="119"/>
        <v>25.201115821188345</v>
      </c>
      <c r="AF42" s="29">
        <f t="shared" si="123"/>
        <v>26.475555283071749</v>
      </c>
      <c r="AG42" s="30">
        <f t="shared" si="119"/>
        <v>25.962336929389711</v>
      </c>
      <c r="AH42" s="29">
        <f t="shared" si="123"/>
        <v>26.872650830735001</v>
      </c>
      <c r="AI42" s="30">
        <f t="shared" si="119"/>
        <v>26.523348985338423</v>
      </c>
      <c r="AJ42" s="29">
        <f t="shared" si="123"/>
        <v>27.069537326145607</v>
      </c>
      <c r="AK42" s="30">
        <f t="shared" si="119"/>
        <v>26.577948928627738</v>
      </c>
      <c r="AL42" s="29">
        <f t="shared" si="123"/>
        <v>26.942074489165851</v>
      </c>
      <c r="AM42" s="30">
        <f t="shared" si="119"/>
        <v>26.651595234550168</v>
      </c>
      <c r="AN42" s="29">
        <f t="shared" si="123"/>
        <v>27.197783575357345</v>
      </c>
      <c r="AO42" s="30">
        <f t="shared" si="119"/>
        <v>26.794172093686505</v>
      </c>
      <c r="AP42" s="29">
        <f t="shared" si="123"/>
        <v>26.976234873955555</v>
      </c>
      <c r="AQ42" s="30">
        <f t="shared" si="120"/>
        <v>26.71082481076364</v>
      </c>
      <c r="AR42" s="29">
        <f t="shared" ref="AR42:BF43" si="124">AQ42+AR$3</f>
        <v>26.892887591032704</v>
      </c>
      <c r="AS42" s="30">
        <f t="shared" si="120"/>
        <v>26.561953567710155</v>
      </c>
      <c r="AT42" s="29">
        <f t="shared" si="124"/>
        <v>27.108141908517332</v>
      </c>
      <c r="AU42" s="30">
        <f t="shared" si="120"/>
        <v>26.901869051125018</v>
      </c>
      <c r="AV42" s="29">
        <f t="shared" si="124"/>
        <v>27.1749632215286</v>
      </c>
      <c r="AW42" s="30">
        <f t="shared" si="120"/>
        <v>26.84361622258686</v>
      </c>
      <c r="AX42" s="29">
        <f t="shared" si="124"/>
        <v>27.116710392990448</v>
      </c>
      <c r="AY42" s="30">
        <f t="shared" si="120"/>
        <v>26.930121636069941</v>
      </c>
      <c r="AZ42" s="29">
        <f t="shared" si="124"/>
        <v>27.112184416338998</v>
      </c>
      <c r="BA42" s="30">
        <f t="shared" si="120"/>
        <v>26.823996147660388</v>
      </c>
      <c r="BB42" s="29">
        <f t="shared" si="124"/>
        <v>27.006058927929452</v>
      </c>
      <c r="BC42" s="30">
        <f t="shared" si="120"/>
        <v>26.844781010033305</v>
      </c>
      <c r="BD42" s="29">
        <f t="shared" si="124"/>
        <v>27.026843790302362</v>
      </c>
      <c r="BE42" s="30">
        <f t="shared" si="120"/>
        <v>26.776754356446283</v>
      </c>
      <c r="BF42" s="29">
        <f t="shared" si="124"/>
        <v>26.867785746580807</v>
      </c>
      <c r="BG42" s="30">
        <f t="shared" si="118"/>
        <v>26.722240012055551</v>
      </c>
      <c r="BH42" s="29">
        <f t="shared" ref="N42:BH43" si="125">BG42+BH$3</f>
        <v>26.813271402190082</v>
      </c>
    </row>
    <row r="43" spans="2:60" x14ac:dyDescent="0.3">
      <c r="B43" s="23"/>
      <c r="C43" s="27"/>
      <c r="D43" s="31">
        <f t="shared" si="52"/>
        <v>0.39999999999999519</v>
      </c>
      <c r="E43" s="28">
        <v>0</v>
      </c>
      <c r="F43" s="29">
        <f t="shared" si="113"/>
        <v>16.385650224215247</v>
      </c>
      <c r="G43" s="5">
        <f>(F42+F44)/2</f>
        <v>12.289237668161435</v>
      </c>
      <c r="H43" s="29">
        <f>G43+H$3</f>
        <v>15.9304932735426</v>
      </c>
      <c r="I43" s="28">
        <f t="shared" si="2"/>
        <v>15.020179372197308</v>
      </c>
      <c r="J43" s="29">
        <f t="shared" si="116"/>
        <v>19.02556053811659</v>
      </c>
      <c r="K43" s="30">
        <f t="shared" si="121"/>
        <v>17.000112107623316</v>
      </c>
      <c r="L43" s="29">
        <f t="shared" ref="L43" si="126">K43+L$3</f>
        <v>18.274551569506727</v>
      </c>
      <c r="M43" s="30">
        <f t="shared" si="122"/>
        <v>17.728363228699553</v>
      </c>
      <c r="N43" s="29">
        <f t="shared" si="125"/>
        <v>19.366928251121077</v>
      </c>
      <c r="O43" s="30">
        <f t="shared" si="122"/>
        <v>18.194899103139015</v>
      </c>
      <c r="P43" s="29">
        <f t="shared" si="125"/>
        <v>19.833464125560539</v>
      </c>
      <c r="Q43" s="30">
        <f t="shared" si="122"/>
        <v>19.230381165919283</v>
      </c>
      <c r="R43" s="29">
        <f t="shared" si="125"/>
        <v>20.686883408071751</v>
      </c>
      <c r="S43" s="30">
        <f t="shared" si="122"/>
        <v>19.775147141255605</v>
      </c>
      <c r="T43" s="29">
        <f t="shared" si="125"/>
        <v>20.503398262331835</v>
      </c>
      <c r="U43" s="30">
        <f t="shared" si="122"/>
        <v>20.107980661434979</v>
      </c>
      <c r="V43" s="29">
        <f t="shared" si="125"/>
        <v>21.01829456278027</v>
      </c>
      <c r="W43" s="30">
        <f t="shared" si="122"/>
        <v>20.346226877802689</v>
      </c>
      <c r="X43" s="29">
        <f t="shared" si="125"/>
        <v>21.074477998878923</v>
      </c>
      <c r="Y43" s="30">
        <f t="shared" si="122"/>
        <v>20.721020179372196</v>
      </c>
      <c r="Z43" s="29">
        <f t="shared" si="125"/>
        <v>21.085145739910317</v>
      </c>
      <c r="AA43" s="30">
        <f t="shared" si="122"/>
        <v>20.636922820908072</v>
      </c>
      <c r="AB43" s="29">
        <f t="shared" si="125"/>
        <v>21.274142551849774</v>
      </c>
      <c r="AC43" s="30">
        <f t="shared" si="119"/>
        <v>20.959799782791478</v>
      </c>
      <c r="AD43" s="29">
        <f t="shared" si="125"/>
        <v>21.779082294002244</v>
      </c>
      <c r="AE43" s="30">
        <f t="shared" si="119"/>
        <v>21.299122845431615</v>
      </c>
      <c r="AF43" s="29">
        <f t="shared" si="125"/>
        <v>22.573562307315019</v>
      </c>
      <c r="AG43" s="30">
        <f t="shared" si="119"/>
        <v>22.113338179652466</v>
      </c>
      <c r="AH43" s="29">
        <f t="shared" si="125"/>
        <v>23.023652080997756</v>
      </c>
      <c r="AI43" s="30">
        <f t="shared" si="119"/>
        <v>22.539464428820416</v>
      </c>
      <c r="AJ43" s="29">
        <f t="shared" si="125"/>
        <v>23.0856527696276</v>
      </c>
      <c r="AK43" s="30">
        <f t="shared" si="119"/>
        <v>22.774454761727512</v>
      </c>
      <c r="AL43" s="29">
        <f t="shared" si="125"/>
        <v>23.138580322265625</v>
      </c>
      <c r="AM43" s="30">
        <f t="shared" si="119"/>
        <v>22.801754733372164</v>
      </c>
      <c r="AN43" s="29">
        <f t="shared" si="125"/>
        <v>23.347943074179341</v>
      </c>
      <c r="AO43" s="30">
        <f t="shared" si="119"/>
        <v>23.066156361669705</v>
      </c>
      <c r="AP43" s="29">
        <f t="shared" si="125"/>
        <v>23.248219141938755</v>
      </c>
      <c r="AQ43" s="30">
        <f t="shared" si="120"/>
        <v>23.000897706036071</v>
      </c>
      <c r="AR43" s="29">
        <f t="shared" si="125"/>
        <v>23.182960486305134</v>
      </c>
      <c r="AS43" s="30">
        <f t="shared" si="120"/>
        <v>23.004739759641915</v>
      </c>
      <c r="AT43" s="29">
        <f t="shared" si="125"/>
        <v>23.550928100449092</v>
      </c>
      <c r="AU43" s="30">
        <f t="shared" si="120"/>
        <v>23.248914003586023</v>
      </c>
      <c r="AV43" s="29">
        <f t="shared" si="125"/>
        <v>23.522008173989605</v>
      </c>
      <c r="AW43" s="30">
        <f t="shared" si="120"/>
        <v>23.350598202692552</v>
      </c>
      <c r="AX43" s="29">
        <f t="shared" si="125"/>
        <v>23.623692373096141</v>
      </c>
      <c r="AY43" s="30">
        <f t="shared" si="120"/>
        <v>23.389745331024372</v>
      </c>
      <c r="AZ43" s="29">
        <f t="shared" si="125"/>
        <v>23.571808111293429</v>
      </c>
      <c r="BA43" s="30">
        <f t="shared" si="120"/>
        <v>23.432998037765913</v>
      </c>
      <c r="BB43" s="29">
        <f t="shared" si="125"/>
        <v>23.615060818034976</v>
      </c>
      <c r="BC43" s="30">
        <f t="shared" si="120"/>
        <v>23.425450988628405</v>
      </c>
      <c r="BD43" s="29">
        <f t="shared" si="125"/>
        <v>23.607513768897462</v>
      </c>
      <c r="BE43" s="30">
        <f t="shared" si="120"/>
        <v>23.481359114882125</v>
      </c>
      <c r="BF43" s="29">
        <f t="shared" si="125"/>
        <v>23.572390505016649</v>
      </c>
      <c r="BG43" s="30">
        <f t="shared" si="118"/>
        <v>23.424587940554979</v>
      </c>
      <c r="BH43" s="29">
        <f t="shared" si="125"/>
        <v>23.51561933068951</v>
      </c>
    </row>
    <row r="44" spans="2:60" x14ac:dyDescent="0.3">
      <c r="B44" s="23"/>
      <c r="C44" s="33"/>
      <c r="D44" s="31">
        <f t="shared" si="52"/>
        <v>0.19999999999999518</v>
      </c>
      <c r="E44" s="28">
        <v>0</v>
      </c>
      <c r="F44" s="5">
        <f>F3/2</f>
        <v>8.1928251121076237</v>
      </c>
      <c r="G44" s="5">
        <f t="shared" si="114"/>
        <v>8.1928251121076237</v>
      </c>
      <c r="H44" s="5">
        <f>G44+H$3/2</f>
        <v>10.013452914798206</v>
      </c>
      <c r="I44" s="28">
        <f t="shared" si="2"/>
        <v>10.013452914798206</v>
      </c>
      <c r="J44" s="5">
        <f>I44+J3/2</f>
        <v>12.016143497757847</v>
      </c>
      <c r="K44" s="30">
        <f t="shared" si="121"/>
        <v>12.016143497757847</v>
      </c>
      <c r="L44" s="5">
        <f>K44+L$3/2</f>
        <v>12.653363228699552</v>
      </c>
      <c r="M44" s="30">
        <f t="shared" si="122"/>
        <v>12.653363228699551</v>
      </c>
      <c r="N44" s="5">
        <f t="shared" ref="N44" si="127">M44+N$3/2</f>
        <v>13.472645739910313</v>
      </c>
      <c r="O44" s="30">
        <f t="shared" si="122"/>
        <v>13.472645739910314</v>
      </c>
      <c r="P44" s="5">
        <f t="shared" ref="P44" si="128">O44+P$3/2</f>
        <v>14.291928251121076</v>
      </c>
      <c r="Q44" s="30">
        <f t="shared" si="122"/>
        <v>14.291928251121076</v>
      </c>
      <c r="R44" s="5">
        <f t="shared" ref="R44" si="129">Q44+R$3/2</f>
        <v>15.02017937219731</v>
      </c>
      <c r="S44" s="30">
        <f t="shared" si="122"/>
        <v>15.02017937219731</v>
      </c>
      <c r="T44" s="5">
        <f t="shared" ref="T44" si="130">S44+T$3/2</f>
        <v>15.384304932735425</v>
      </c>
      <c r="U44" s="30">
        <f t="shared" si="122"/>
        <v>15.384304932735425</v>
      </c>
      <c r="V44" s="5">
        <f t="shared" ref="V44" si="131">U44+V$3/2</f>
        <v>15.83946188340807</v>
      </c>
      <c r="W44" s="30">
        <f t="shared" si="122"/>
        <v>15.839461883408072</v>
      </c>
      <c r="X44" s="5">
        <f t="shared" ref="X44" si="132">W44+X$3/2</f>
        <v>16.203587443946191</v>
      </c>
      <c r="Y44" s="30">
        <f t="shared" si="122"/>
        <v>16.203587443946187</v>
      </c>
      <c r="Z44" s="5">
        <f t="shared" ref="Z44" si="133">Y44+Z$3/2</f>
        <v>16.385650224215247</v>
      </c>
      <c r="AA44" s="30">
        <f t="shared" si="122"/>
        <v>16.385650224215247</v>
      </c>
      <c r="AB44" s="5">
        <f t="shared" ref="AB44" si="134">AA44+AB$3/2</f>
        <v>16.704260089686098</v>
      </c>
      <c r="AC44" s="30">
        <f t="shared" si="119"/>
        <v>16.704260089686098</v>
      </c>
      <c r="AD44" s="5">
        <f t="shared" ref="AD44" si="135">AC44+AD$3/2</f>
        <v>17.113901345291481</v>
      </c>
      <c r="AE44" s="30">
        <f t="shared" si="119"/>
        <v>17.113901345291481</v>
      </c>
      <c r="AF44" s="5">
        <f t="shared" ref="AF44" si="136">AE44+AF$3/2</f>
        <v>17.751121076233183</v>
      </c>
      <c r="AG44" s="30">
        <f t="shared" si="119"/>
        <v>17.751121076233183</v>
      </c>
      <c r="AH44" s="5">
        <f t="shared" ref="AH44" si="137">AG44+AH$3/2</f>
        <v>18.206278026905828</v>
      </c>
      <c r="AI44" s="30">
        <f t="shared" si="119"/>
        <v>18.206278026905828</v>
      </c>
      <c r="AJ44" s="5">
        <f t="shared" ref="AJ44" si="138">AI44+AJ$3/2</f>
        <v>18.47937219730942</v>
      </c>
      <c r="AK44" s="30">
        <f t="shared" si="119"/>
        <v>18.47937219730942</v>
      </c>
      <c r="AL44" s="5">
        <f t="shared" ref="AL44" si="139">AK44+AL$3/2</f>
        <v>18.661434977578477</v>
      </c>
      <c r="AM44" s="30">
        <f t="shared" si="119"/>
        <v>18.661434977578477</v>
      </c>
      <c r="AN44" s="5">
        <f t="shared" ref="AN44" si="140">AM44+AN$3/2</f>
        <v>18.934529147982065</v>
      </c>
      <c r="AO44" s="30">
        <f t="shared" si="119"/>
        <v>18.934529147982065</v>
      </c>
      <c r="AP44" s="5">
        <f t="shared" ref="AP44" si="141">AO44+AP$3/2</f>
        <v>19.02556053811659</v>
      </c>
      <c r="AQ44" s="30">
        <f t="shared" si="120"/>
        <v>19.02556053811659</v>
      </c>
      <c r="AR44" s="5">
        <f t="shared" ref="AR44" si="142">AQ44+AR$3/2</f>
        <v>19.116591928251122</v>
      </c>
      <c r="AS44" s="30">
        <f t="shared" si="120"/>
        <v>19.116591928251122</v>
      </c>
      <c r="AT44" s="5">
        <f t="shared" ref="AT44" si="143">AS44+AT$3/2</f>
        <v>19.38968609865471</v>
      </c>
      <c r="AU44" s="30">
        <f t="shared" si="120"/>
        <v>19.38968609865471</v>
      </c>
      <c r="AV44" s="5">
        <f t="shared" ref="AV44" si="144">AU44+AV$3/2</f>
        <v>19.526233183856501</v>
      </c>
      <c r="AW44" s="30">
        <f t="shared" si="120"/>
        <v>19.526233183856501</v>
      </c>
      <c r="AX44" s="5">
        <f t="shared" ref="AX44" si="145">AW44+AX$3/2</f>
        <v>19.662780269058295</v>
      </c>
      <c r="AY44" s="30">
        <f t="shared" si="120"/>
        <v>19.662780269058295</v>
      </c>
      <c r="AZ44" s="5">
        <f t="shared" ref="AZ44" si="146">AY44+AZ$3/2</f>
        <v>19.753811659192824</v>
      </c>
      <c r="BA44" s="30">
        <f t="shared" si="120"/>
        <v>19.753811659192824</v>
      </c>
      <c r="BB44" s="5">
        <f t="shared" ref="BB44" si="147">BA44+BB$3/2</f>
        <v>19.844843049327356</v>
      </c>
      <c r="BC44" s="30">
        <f t="shared" si="120"/>
        <v>19.844843049327356</v>
      </c>
      <c r="BD44" s="5">
        <f t="shared" ref="BD44" si="148">BC44+BD$3/2</f>
        <v>19.935874439461884</v>
      </c>
      <c r="BE44" s="30">
        <f t="shared" si="120"/>
        <v>19.935874439461884</v>
      </c>
      <c r="BF44" s="5">
        <f t="shared" ref="BF44" si="149">BE44+BF$3/2</f>
        <v>19.981390134529146</v>
      </c>
      <c r="BG44" s="30">
        <f t="shared" si="118"/>
        <v>19.981390134529146</v>
      </c>
      <c r="BH44" s="5">
        <f t="shared" ref="BH44" si="150">BG44+BH$3/2</f>
        <v>20.026905829596412</v>
      </c>
    </row>
    <row r="45" spans="2:60" x14ac:dyDescent="0.3">
      <c r="B45" s="34" t="s">
        <v>37</v>
      </c>
      <c r="C45" s="35" t="s">
        <v>37</v>
      </c>
      <c r="D45" s="36">
        <v>-0.2</v>
      </c>
      <c r="E45" s="37">
        <v>0</v>
      </c>
      <c r="F45" s="38">
        <v>0</v>
      </c>
      <c r="G45" s="5">
        <f>(F44+F46)/2</f>
        <v>4.0964125560538118</v>
      </c>
      <c r="H45" s="38">
        <f>G45</f>
        <v>4.0964125560538118</v>
      </c>
      <c r="I45" s="28">
        <f t="shared" si="2"/>
        <v>5.006726457399103</v>
      </c>
      <c r="J45" s="38">
        <f>I45</f>
        <v>5.006726457399103</v>
      </c>
      <c r="K45" s="30">
        <f t="shared" si="121"/>
        <v>7.032174887892376</v>
      </c>
      <c r="L45" s="39">
        <f>K45</f>
        <v>7.032174887892376</v>
      </c>
      <c r="M45" s="30">
        <f t="shared" si="122"/>
        <v>7.5783632286995521</v>
      </c>
      <c r="N45" s="39">
        <f t="shared" ref="N45" si="151">M45</f>
        <v>7.5783632286995521</v>
      </c>
      <c r="O45" s="30">
        <f t="shared" si="122"/>
        <v>8.7503923766816136</v>
      </c>
      <c r="P45" s="39">
        <f t="shared" ref="P45" si="152">O45</f>
        <v>8.7503923766816136</v>
      </c>
      <c r="Q45" s="30">
        <f t="shared" si="122"/>
        <v>9.3534753363228695</v>
      </c>
      <c r="R45" s="39">
        <f t="shared" ref="R45" si="153">Q45</f>
        <v>9.3534753363228695</v>
      </c>
      <c r="S45" s="30">
        <f t="shared" si="122"/>
        <v>10.265211603139013</v>
      </c>
      <c r="T45" s="39">
        <f t="shared" ref="T45" si="154">S45</f>
        <v>10.265211603139013</v>
      </c>
      <c r="U45" s="30">
        <f t="shared" si="122"/>
        <v>10.660629204035875</v>
      </c>
      <c r="V45" s="39">
        <f t="shared" ref="V45" si="155">U45</f>
        <v>10.660629204035875</v>
      </c>
      <c r="W45" s="30">
        <f t="shared" si="122"/>
        <v>11.332696889013452</v>
      </c>
      <c r="X45" s="39">
        <f t="shared" ref="X45" si="156">W45</f>
        <v>11.332696889013452</v>
      </c>
      <c r="Y45" s="30">
        <f t="shared" si="122"/>
        <v>11.686154708520181</v>
      </c>
      <c r="Z45" s="39">
        <f t="shared" ref="Z45" si="157">Y45</f>
        <v>11.686154708520181</v>
      </c>
      <c r="AA45" s="30">
        <f t="shared" si="122"/>
        <v>12.134377627522422</v>
      </c>
      <c r="AB45" s="39">
        <f t="shared" ref="AB45:AP60" si="158">AA45</f>
        <v>12.134377627522422</v>
      </c>
      <c r="AC45" s="30">
        <f t="shared" si="119"/>
        <v>12.448720396580718</v>
      </c>
      <c r="AD45" s="39">
        <f t="shared" ref="AD45" si="159">AC45</f>
        <v>12.448720396580718</v>
      </c>
      <c r="AE45" s="30">
        <f t="shared" si="119"/>
        <v>12.928679845151347</v>
      </c>
      <c r="AF45" s="39">
        <f t="shared" ref="AF45" si="160">AE45</f>
        <v>12.928679845151347</v>
      </c>
      <c r="AG45" s="30">
        <f t="shared" si="119"/>
        <v>13.388903972813901</v>
      </c>
      <c r="AH45" s="39">
        <f t="shared" ref="AH45" si="161">AG45</f>
        <v>13.388903972813901</v>
      </c>
      <c r="AI45" s="30">
        <f t="shared" si="119"/>
        <v>13.873091624991241</v>
      </c>
      <c r="AJ45" s="39">
        <f t="shared" ref="AJ45" si="162">AI45</f>
        <v>13.873091624991241</v>
      </c>
      <c r="AK45" s="30">
        <f t="shared" si="119"/>
        <v>14.184289632891328</v>
      </c>
      <c r="AL45" s="39">
        <f t="shared" ref="AL45" si="163">AK45</f>
        <v>14.184289632891328</v>
      </c>
      <c r="AM45" s="30">
        <f t="shared" si="119"/>
        <v>14.52111522178479</v>
      </c>
      <c r="AN45" s="39">
        <f t="shared" ref="AN45" si="164">AM45</f>
        <v>14.52111522178479</v>
      </c>
      <c r="AO45" s="30">
        <f t="shared" si="119"/>
        <v>14.802901934294425</v>
      </c>
      <c r="AP45" s="39">
        <f t="shared" ref="AP45" si="165">AO45</f>
        <v>14.802901934294425</v>
      </c>
      <c r="AQ45" s="30">
        <f t="shared" si="120"/>
        <v>15.050223370197108</v>
      </c>
      <c r="AR45" s="39">
        <f t="shared" ref="AR45:BF46" si="166">AQ45</f>
        <v>15.050223370197108</v>
      </c>
      <c r="AS45" s="30">
        <f t="shared" si="120"/>
        <v>15.228444096860331</v>
      </c>
      <c r="AT45" s="39">
        <f t="shared" ref="AT45" si="167">AS45</f>
        <v>15.228444096860331</v>
      </c>
      <c r="AU45" s="30">
        <f t="shared" si="120"/>
        <v>15.530458193723398</v>
      </c>
      <c r="AV45" s="39">
        <f t="shared" ref="AV45" si="168">AU45</f>
        <v>15.530458193723398</v>
      </c>
      <c r="AW45" s="30">
        <f t="shared" si="120"/>
        <v>15.701868165020452</v>
      </c>
      <c r="AX45" s="39">
        <f t="shared" ref="AX45" si="169">AW45</f>
        <v>15.701868165020452</v>
      </c>
      <c r="AY45" s="30">
        <f t="shared" si="120"/>
        <v>15.935815207092217</v>
      </c>
      <c r="AZ45" s="39">
        <f t="shared" ref="AZ45" si="170">AY45</f>
        <v>15.935815207092217</v>
      </c>
      <c r="BA45" s="30">
        <f t="shared" si="120"/>
        <v>16.074625280619735</v>
      </c>
      <c r="BB45" s="39">
        <f t="shared" ref="BB45" si="171">BA45</f>
        <v>16.074625280619735</v>
      </c>
      <c r="BC45" s="30">
        <f t="shared" si="120"/>
        <v>16.264235110026306</v>
      </c>
      <c r="BD45" s="39">
        <f t="shared" ref="BD45" si="172">BC45</f>
        <v>16.264235110026306</v>
      </c>
      <c r="BE45" s="30">
        <f t="shared" si="120"/>
        <v>16.390389764041643</v>
      </c>
      <c r="BF45" s="39">
        <f t="shared" ref="BF45" si="173">BE45</f>
        <v>16.390389764041643</v>
      </c>
      <c r="BG45" s="30">
        <f t="shared" si="118"/>
        <v>16.538192328503314</v>
      </c>
      <c r="BH45" s="39">
        <f t="shared" ref="AB45:BH60" si="174">BG45</f>
        <v>16.538192328503314</v>
      </c>
    </row>
    <row r="46" spans="2:60" x14ac:dyDescent="0.3">
      <c r="B46" s="34"/>
      <c r="C46" s="35" t="s">
        <v>37</v>
      </c>
      <c r="D46" s="36">
        <f>D45-0.2</f>
        <v>-0.4</v>
      </c>
      <c r="E46" s="28">
        <v>0</v>
      </c>
      <c r="F46" s="38">
        <v>0</v>
      </c>
      <c r="G46" s="5">
        <f t="shared" si="114"/>
        <v>0</v>
      </c>
      <c r="H46" s="38">
        <f t="shared" ref="H46:H84" si="175">G46</f>
        <v>0</v>
      </c>
      <c r="I46" s="28">
        <f t="shared" si="2"/>
        <v>2.0482062780269059</v>
      </c>
      <c r="J46" s="38">
        <f t="shared" ref="J46:J84" si="176">I46</f>
        <v>2.0482062780269059</v>
      </c>
      <c r="K46" s="30">
        <f t="shared" si="121"/>
        <v>2.5033632286995515</v>
      </c>
      <c r="L46" s="39">
        <f t="shared" ref="L46:Z61" si="177">K46</f>
        <v>2.5033632286995515</v>
      </c>
      <c r="M46" s="30">
        <f t="shared" si="122"/>
        <v>4.0281390134529147</v>
      </c>
      <c r="N46" s="39">
        <f t="shared" si="177"/>
        <v>4.0281390134529147</v>
      </c>
      <c r="O46" s="30">
        <f t="shared" si="122"/>
        <v>4.4150224215246636</v>
      </c>
      <c r="P46" s="39">
        <f t="shared" si="177"/>
        <v>4.4150224215246636</v>
      </c>
      <c r="Q46" s="30">
        <f t="shared" si="122"/>
        <v>5.5102438340807174</v>
      </c>
      <c r="R46" s="39">
        <f t="shared" si="177"/>
        <v>5.5102438340807174</v>
      </c>
      <c r="S46" s="30">
        <f t="shared" si="122"/>
        <v>5.9369534753363222</v>
      </c>
      <c r="T46" s="39">
        <f t="shared" si="177"/>
        <v>5.9369534753363222</v>
      </c>
      <c r="U46" s="30">
        <f t="shared" si="122"/>
        <v>6.8259318946188339</v>
      </c>
      <c r="V46" s="39">
        <f t="shared" si="177"/>
        <v>6.8259318946188339</v>
      </c>
      <c r="W46" s="30">
        <f t="shared" si="122"/>
        <v>7.1687219730941703</v>
      </c>
      <c r="X46" s="39">
        <f t="shared" si="177"/>
        <v>7.1687219730941703</v>
      </c>
      <c r="Y46" s="30">
        <f t="shared" si="122"/>
        <v>7.8831050308295953</v>
      </c>
      <c r="Z46" s="39">
        <f t="shared" si="177"/>
        <v>7.8831050308295953</v>
      </c>
      <c r="AA46" s="30">
        <f t="shared" si="122"/>
        <v>8.1931807034753383</v>
      </c>
      <c r="AB46" s="39">
        <f t="shared" si="158"/>
        <v>8.1931807034753383</v>
      </c>
      <c r="AC46" s="30">
        <f t="shared" si="119"/>
        <v>8.7434583450112111</v>
      </c>
      <c r="AD46" s="39">
        <f t="shared" si="158"/>
        <v>8.7434583450112111</v>
      </c>
      <c r="AE46" s="30">
        <f t="shared" si="119"/>
        <v>9.0266868693946201</v>
      </c>
      <c r="AF46" s="39">
        <f t="shared" si="158"/>
        <v>9.0266868693946201</v>
      </c>
      <c r="AG46" s="30">
        <f t="shared" si="119"/>
        <v>9.539905223076655</v>
      </c>
      <c r="AH46" s="39">
        <f t="shared" si="158"/>
        <v>9.539905223076655</v>
      </c>
      <c r="AI46" s="30">
        <f t="shared" si="119"/>
        <v>9.8892070684732349</v>
      </c>
      <c r="AJ46" s="39">
        <f t="shared" si="158"/>
        <v>9.8892070684732349</v>
      </c>
      <c r="AK46" s="30">
        <f t="shared" si="119"/>
        <v>10.380795465991103</v>
      </c>
      <c r="AL46" s="39">
        <f t="shared" si="158"/>
        <v>10.380795465991103</v>
      </c>
      <c r="AM46" s="30">
        <f t="shared" si="119"/>
        <v>10.671274720606785</v>
      </c>
      <c r="AN46" s="39">
        <f t="shared" si="158"/>
        <v>10.671274720606785</v>
      </c>
      <c r="AO46" s="30">
        <f t="shared" si="119"/>
        <v>11.074886202277625</v>
      </c>
      <c r="AP46" s="39">
        <f t="shared" si="158"/>
        <v>11.074886202277625</v>
      </c>
      <c r="AQ46" s="30">
        <f t="shared" si="120"/>
        <v>11.34029626546954</v>
      </c>
      <c r="AR46" s="39">
        <f t="shared" si="166"/>
        <v>11.34029626546954</v>
      </c>
      <c r="AS46" s="30">
        <f t="shared" si="120"/>
        <v>11.671230288792085</v>
      </c>
      <c r="AT46" s="39">
        <f t="shared" si="166"/>
        <v>11.671230288792085</v>
      </c>
      <c r="AU46" s="30">
        <f t="shared" si="120"/>
        <v>11.877503146184402</v>
      </c>
      <c r="AV46" s="39">
        <f t="shared" si="166"/>
        <v>11.877503146184402</v>
      </c>
      <c r="AW46" s="30">
        <f t="shared" si="120"/>
        <v>12.208850145126139</v>
      </c>
      <c r="AX46" s="39">
        <f t="shared" si="166"/>
        <v>12.208850145126139</v>
      </c>
      <c r="AY46" s="30">
        <f t="shared" si="120"/>
        <v>12.395438902046649</v>
      </c>
      <c r="AZ46" s="39">
        <f t="shared" si="166"/>
        <v>12.395438902046649</v>
      </c>
      <c r="BA46" s="30">
        <f t="shared" si="120"/>
        <v>12.683627170725256</v>
      </c>
      <c r="BB46" s="39">
        <f t="shared" si="166"/>
        <v>12.683627170725256</v>
      </c>
      <c r="BC46" s="30">
        <f t="shared" si="120"/>
        <v>12.844905088621404</v>
      </c>
      <c r="BD46" s="39">
        <f t="shared" si="166"/>
        <v>12.844905088621404</v>
      </c>
      <c r="BE46" s="30">
        <f t="shared" si="120"/>
        <v>13.094994522477482</v>
      </c>
      <c r="BF46" s="39">
        <f t="shared" si="166"/>
        <v>13.094994522477482</v>
      </c>
      <c r="BG46" s="30">
        <f t="shared" si="118"/>
        <v>13.24054025700274</v>
      </c>
      <c r="BH46" s="39">
        <f t="shared" si="174"/>
        <v>13.24054025700274</v>
      </c>
    </row>
    <row r="47" spans="2:60" x14ac:dyDescent="0.3">
      <c r="B47" s="34"/>
      <c r="C47" s="35" t="s">
        <v>37</v>
      </c>
      <c r="D47" s="36">
        <f t="shared" ref="D47:D84" si="178">D46-0.2</f>
        <v>-0.60000000000000009</v>
      </c>
      <c r="E47" s="28">
        <v>0</v>
      </c>
      <c r="F47" s="38">
        <v>0</v>
      </c>
      <c r="G47" s="5">
        <f t="shared" si="114"/>
        <v>0</v>
      </c>
      <c r="H47" s="38">
        <f t="shared" si="175"/>
        <v>0</v>
      </c>
      <c r="I47" s="28">
        <f t="shared" si="2"/>
        <v>0</v>
      </c>
      <c r="J47" s="38">
        <f t="shared" si="176"/>
        <v>0</v>
      </c>
      <c r="K47" s="30">
        <f t="shared" si="121"/>
        <v>1.024103139013453</v>
      </c>
      <c r="L47" s="39">
        <f t="shared" si="177"/>
        <v>1.024103139013453</v>
      </c>
      <c r="M47" s="30">
        <f t="shared" si="122"/>
        <v>1.2516816143497758</v>
      </c>
      <c r="N47" s="39">
        <f t="shared" si="177"/>
        <v>1.2516816143497758</v>
      </c>
      <c r="O47" s="30">
        <f t="shared" si="122"/>
        <v>2.2700952914798207</v>
      </c>
      <c r="P47" s="39">
        <f t="shared" si="177"/>
        <v>2.2700952914798207</v>
      </c>
      <c r="Q47" s="30">
        <f t="shared" si="122"/>
        <v>2.5204316143497758</v>
      </c>
      <c r="R47" s="39">
        <f t="shared" si="177"/>
        <v>2.5204316143497758</v>
      </c>
      <c r="S47" s="30">
        <f t="shared" si="122"/>
        <v>3.3866521860986545</v>
      </c>
      <c r="T47" s="39">
        <f t="shared" si="177"/>
        <v>3.3866521860986545</v>
      </c>
      <c r="U47" s="30">
        <f t="shared" si="122"/>
        <v>3.676814742152466</v>
      </c>
      <c r="V47" s="39">
        <f t="shared" si="177"/>
        <v>3.676814742152466</v>
      </c>
      <c r="W47" s="30">
        <f t="shared" si="122"/>
        <v>4.43351317264574</v>
      </c>
      <c r="X47" s="39">
        <f t="shared" si="177"/>
        <v>4.43351317264574</v>
      </c>
      <c r="Y47" s="30">
        <f t="shared" si="122"/>
        <v>4.7002066984304935</v>
      </c>
      <c r="Z47" s="39">
        <f t="shared" si="177"/>
        <v>4.7002066984304935</v>
      </c>
      <c r="AA47" s="30">
        <f t="shared" si="122"/>
        <v>5.3525390625</v>
      </c>
      <c r="AB47" s="39">
        <f t="shared" si="174"/>
        <v>5.3525390625</v>
      </c>
      <c r="AC47" s="30">
        <f t="shared" si="119"/>
        <v>5.604653342208521</v>
      </c>
      <c r="AD47" s="39">
        <f t="shared" si="174"/>
        <v>5.604653342208521</v>
      </c>
      <c r="AE47" s="30">
        <f t="shared" si="119"/>
        <v>6.1511306010019622</v>
      </c>
      <c r="AF47" s="39">
        <f t="shared" si="174"/>
        <v>6.1511306010019622</v>
      </c>
      <c r="AG47" s="30">
        <f t="shared" si="119"/>
        <v>6.3895101641325684</v>
      </c>
      <c r="AH47" s="39">
        <f t="shared" si="174"/>
        <v>6.3895101641325684</v>
      </c>
      <c r="AI47" s="30">
        <f t="shared" si="119"/>
        <v>6.8884993069909619</v>
      </c>
      <c r="AJ47" s="39">
        <f t="shared" si="174"/>
        <v>6.8884993069909619</v>
      </c>
      <c r="AK47" s="30">
        <f t="shared" si="119"/>
        <v>7.1582598083222404</v>
      </c>
      <c r="AL47" s="39">
        <f t="shared" si="174"/>
        <v>7.1582598083222404</v>
      </c>
      <c r="AM47" s="30">
        <f t="shared" si="119"/>
        <v>7.6286571827704606</v>
      </c>
      <c r="AN47" s="39">
        <f t="shared" si="174"/>
        <v>7.6286571827704606</v>
      </c>
      <c r="AO47" s="30">
        <f t="shared" si="119"/>
        <v>7.8776905966446558</v>
      </c>
      <c r="AP47" s="39">
        <f t="shared" si="174"/>
        <v>7.8776905966446558</v>
      </c>
      <c r="AQ47" s="30">
        <f t="shared" si="120"/>
        <v>8.2922372073870605</v>
      </c>
      <c r="AR47" s="39">
        <f t="shared" si="174"/>
        <v>8.2922372073870605</v>
      </c>
      <c r="AS47" s="30">
        <f t="shared" si="120"/>
        <v>8.5265621955084718</v>
      </c>
      <c r="AT47" s="39">
        <f t="shared" si="174"/>
        <v>8.5265621955084718</v>
      </c>
      <c r="AU47" s="30">
        <f t="shared" si="120"/>
        <v>8.8872420965288796</v>
      </c>
      <c r="AV47" s="39">
        <f t="shared" si="174"/>
        <v>8.8872420965288796</v>
      </c>
      <c r="AW47" s="30">
        <f t="shared" si="120"/>
        <v>9.0890096390728488</v>
      </c>
      <c r="AX47" s="39">
        <f t="shared" si="174"/>
        <v>9.0890096390728488</v>
      </c>
      <c r="AY47" s="30">
        <f t="shared" si="120"/>
        <v>9.4314391343582926</v>
      </c>
      <c r="AZ47" s="39">
        <f t="shared" si="174"/>
        <v>9.4314391343582926</v>
      </c>
      <c r="BA47" s="30">
        <f t="shared" si="120"/>
        <v>9.6151848966230737</v>
      </c>
      <c r="BB47" s="39">
        <f t="shared" si="174"/>
        <v>9.6151848966230737</v>
      </c>
      <c r="BC47" s="30">
        <f t="shared" si="120"/>
        <v>9.9257539349286574</v>
      </c>
      <c r="BD47" s="39">
        <f t="shared" si="174"/>
        <v>9.9257539349286574</v>
      </c>
      <c r="BE47" s="30">
        <f t="shared" si="120"/>
        <v>10.090690749963837</v>
      </c>
      <c r="BF47" s="39">
        <f t="shared" si="174"/>
        <v>10.090690749963837</v>
      </c>
      <c r="BG47" s="30">
        <f t="shared" si="118"/>
        <v>10.370179037636174</v>
      </c>
      <c r="BH47" s="39">
        <f t="shared" si="174"/>
        <v>10.370179037636174</v>
      </c>
    </row>
    <row r="48" spans="2:60" x14ac:dyDescent="0.3">
      <c r="B48" s="34"/>
      <c r="C48" s="35" t="s">
        <v>37</v>
      </c>
      <c r="D48" s="36">
        <f t="shared" si="178"/>
        <v>-0.8</v>
      </c>
      <c r="E48" s="28">
        <v>0</v>
      </c>
      <c r="F48" s="38">
        <v>0</v>
      </c>
      <c r="G48" s="5">
        <f t="shared" si="114"/>
        <v>0</v>
      </c>
      <c r="H48" s="38">
        <f t="shared" si="175"/>
        <v>0</v>
      </c>
      <c r="I48" s="28">
        <f t="shared" si="2"/>
        <v>0</v>
      </c>
      <c r="J48" s="38">
        <f t="shared" si="176"/>
        <v>0</v>
      </c>
      <c r="K48" s="30">
        <f t="shared" si="121"/>
        <v>0</v>
      </c>
      <c r="L48" s="39">
        <f t="shared" si="177"/>
        <v>0</v>
      </c>
      <c r="M48" s="30">
        <f t="shared" si="122"/>
        <v>0.51205156950672648</v>
      </c>
      <c r="N48" s="39">
        <f t="shared" si="177"/>
        <v>0.51205156950672648</v>
      </c>
      <c r="O48" s="30">
        <f t="shared" si="122"/>
        <v>0.62584080717488788</v>
      </c>
      <c r="P48" s="39">
        <f t="shared" si="177"/>
        <v>0.62584080717488788</v>
      </c>
      <c r="Q48" s="30">
        <f t="shared" si="122"/>
        <v>1.263060538116592</v>
      </c>
      <c r="R48" s="39">
        <f t="shared" si="177"/>
        <v>1.263060538116592</v>
      </c>
      <c r="S48" s="30">
        <f t="shared" si="122"/>
        <v>1.4166760089686099</v>
      </c>
      <c r="T48" s="39">
        <f t="shared" si="177"/>
        <v>1.4166760089686099</v>
      </c>
      <c r="U48" s="30">
        <f t="shared" si="122"/>
        <v>2.0410944506726456</v>
      </c>
      <c r="V48" s="39">
        <f t="shared" si="177"/>
        <v>2.0410944506726456</v>
      </c>
      <c r="W48" s="30">
        <f t="shared" si="122"/>
        <v>2.231691423766816</v>
      </c>
      <c r="X48" s="39">
        <f t="shared" si="177"/>
        <v>2.231691423766816</v>
      </c>
      <c r="Y48" s="30">
        <f t="shared" si="122"/>
        <v>2.8219730941704038</v>
      </c>
      <c r="Z48" s="39">
        <f t="shared" si="177"/>
        <v>2.8219730941704038</v>
      </c>
      <c r="AA48" s="30">
        <f t="shared" si="122"/>
        <v>3.016125980941704</v>
      </c>
      <c r="AB48" s="39">
        <f t="shared" si="174"/>
        <v>3.016125980941704</v>
      </c>
      <c r="AC48" s="30">
        <f t="shared" si="119"/>
        <v>3.5588028569927133</v>
      </c>
      <c r="AD48" s="39">
        <f t="shared" si="174"/>
        <v>3.5588028569927133</v>
      </c>
      <c r="AE48" s="30">
        <f t="shared" si="119"/>
        <v>3.7523334588705159</v>
      </c>
      <c r="AF48" s="39">
        <f t="shared" si="174"/>
        <v>3.7523334588705159</v>
      </c>
      <c r="AG48" s="30">
        <f t="shared" si="119"/>
        <v>4.2370933909052688</v>
      </c>
      <c r="AH48" s="39">
        <f t="shared" si="174"/>
        <v>4.2370933909052688</v>
      </c>
      <c r="AI48" s="30">
        <f t="shared" si="119"/>
        <v>4.427312548171245</v>
      </c>
      <c r="AJ48" s="39">
        <f t="shared" si="174"/>
        <v>4.427312548171245</v>
      </c>
      <c r="AK48" s="30">
        <f t="shared" si="119"/>
        <v>4.8765188995498185</v>
      </c>
      <c r="AL48" s="39">
        <f t="shared" si="174"/>
        <v>4.8765188995498185</v>
      </c>
      <c r="AM48" s="30">
        <f t="shared" si="119"/>
        <v>5.0841064726825262</v>
      </c>
      <c r="AN48" s="39">
        <f t="shared" si="174"/>
        <v>5.0841064726825262</v>
      </c>
      <c r="AO48" s="30">
        <f t="shared" si="119"/>
        <v>5.5095882124964977</v>
      </c>
      <c r="AP48" s="39">
        <f t="shared" si="174"/>
        <v>5.5095882124964977</v>
      </c>
      <c r="AQ48" s="30">
        <f t="shared" si="120"/>
        <v>5.7128281255474018</v>
      </c>
      <c r="AR48" s="39">
        <f t="shared" si="174"/>
        <v>5.7128281255474018</v>
      </c>
      <c r="AS48" s="30">
        <f t="shared" si="120"/>
        <v>6.1032539042656735</v>
      </c>
      <c r="AT48" s="39">
        <f t="shared" si="174"/>
        <v>6.1032539042656735</v>
      </c>
      <c r="AU48" s="30">
        <f t="shared" si="120"/>
        <v>6.3005161319612935</v>
      </c>
      <c r="AV48" s="39">
        <f t="shared" si="174"/>
        <v>6.3005161319612935</v>
      </c>
      <c r="AW48" s="30">
        <f t="shared" si="120"/>
        <v>6.6540281235904448</v>
      </c>
      <c r="AX48" s="39">
        <f t="shared" si="174"/>
        <v>6.6540281235904448</v>
      </c>
      <c r="AY48" s="30">
        <f t="shared" si="120"/>
        <v>6.8349308911994981</v>
      </c>
      <c r="AZ48" s="39">
        <f t="shared" si="174"/>
        <v>6.8349308911994981</v>
      </c>
      <c r="BA48" s="30">
        <f t="shared" si="120"/>
        <v>7.1678806991320574</v>
      </c>
      <c r="BB48" s="39">
        <f t="shared" si="174"/>
        <v>7.1678806991320574</v>
      </c>
      <c r="BC48" s="30">
        <f t="shared" si="120"/>
        <v>7.336476411306271</v>
      </c>
      <c r="BD48" s="39">
        <f t="shared" si="174"/>
        <v>7.336476411306271</v>
      </c>
      <c r="BE48" s="30">
        <f t="shared" si="120"/>
        <v>7.6453635527948647</v>
      </c>
      <c r="BF48" s="39">
        <f t="shared" si="174"/>
        <v>7.6453635527948647</v>
      </c>
      <c r="BG48" s="30">
        <f t="shared" si="118"/>
        <v>7.8012476766056018</v>
      </c>
      <c r="BH48" s="39">
        <f t="shared" si="174"/>
        <v>7.8012476766056018</v>
      </c>
    </row>
    <row r="49" spans="2:60" x14ac:dyDescent="0.3">
      <c r="B49" s="34"/>
      <c r="C49" s="35" t="s">
        <v>37</v>
      </c>
      <c r="D49" s="36">
        <f t="shared" si="178"/>
        <v>-1</v>
      </c>
      <c r="E49" s="28">
        <v>0</v>
      </c>
      <c r="F49" s="38">
        <v>0</v>
      </c>
      <c r="G49" s="5">
        <f t="shared" si="114"/>
        <v>0</v>
      </c>
      <c r="H49" s="38">
        <f t="shared" si="175"/>
        <v>0</v>
      </c>
      <c r="I49" s="28">
        <f t="shared" si="2"/>
        <v>0</v>
      </c>
      <c r="J49" s="38">
        <f t="shared" si="176"/>
        <v>0</v>
      </c>
      <c r="K49" s="30">
        <f t="shared" si="121"/>
        <v>0</v>
      </c>
      <c r="L49" s="39">
        <f t="shared" si="177"/>
        <v>0</v>
      </c>
      <c r="M49" s="30">
        <f t="shared" si="122"/>
        <v>0</v>
      </c>
      <c r="N49" s="39">
        <f t="shared" si="177"/>
        <v>0</v>
      </c>
      <c r="O49" s="30">
        <f t="shared" si="122"/>
        <v>0.25602578475336324</v>
      </c>
      <c r="P49" s="39">
        <f t="shared" si="177"/>
        <v>0.25602578475336324</v>
      </c>
      <c r="Q49" s="30">
        <f t="shared" si="122"/>
        <v>0.31292040358744394</v>
      </c>
      <c r="R49" s="39">
        <f t="shared" si="177"/>
        <v>0.31292040358744394</v>
      </c>
      <c r="S49" s="30">
        <f t="shared" si="122"/>
        <v>0.69553671524663685</v>
      </c>
      <c r="T49" s="39">
        <f t="shared" si="177"/>
        <v>0.69553671524663685</v>
      </c>
      <c r="U49" s="30">
        <f t="shared" si="122"/>
        <v>0.78656810538116595</v>
      </c>
      <c r="V49" s="39">
        <f t="shared" si="177"/>
        <v>0.78656810538116595</v>
      </c>
      <c r="W49" s="30">
        <f t="shared" si="122"/>
        <v>1.2104330156950671</v>
      </c>
      <c r="X49" s="39">
        <f t="shared" si="177"/>
        <v>1.2104330156950671</v>
      </c>
      <c r="Y49" s="30">
        <f t="shared" si="122"/>
        <v>1.3320452634529147</v>
      </c>
      <c r="Z49" s="39">
        <f t="shared" si="177"/>
        <v>1.3320452634529147</v>
      </c>
      <c r="AA49" s="30">
        <f t="shared" si="122"/>
        <v>1.7650666514854261</v>
      </c>
      <c r="AB49" s="39">
        <f t="shared" si="174"/>
        <v>1.7650666514854261</v>
      </c>
      <c r="AC49" s="30">
        <f t="shared" si="119"/>
        <v>1.9000135755325112</v>
      </c>
      <c r="AD49" s="39">
        <f t="shared" si="174"/>
        <v>1.9000135755325112</v>
      </c>
      <c r="AE49" s="30">
        <f t="shared" si="119"/>
        <v>2.3230561808085763</v>
      </c>
      <c r="AF49" s="39">
        <f t="shared" si="174"/>
        <v>2.3230561808085763</v>
      </c>
      <c r="AG49" s="30">
        <f t="shared" si="119"/>
        <v>2.4651149322099215</v>
      </c>
      <c r="AH49" s="39">
        <f t="shared" si="174"/>
        <v>2.4651149322099215</v>
      </c>
      <c r="AI49" s="30">
        <f t="shared" si="119"/>
        <v>2.8645384921086743</v>
      </c>
      <c r="AJ49" s="39">
        <f t="shared" si="174"/>
        <v>2.8645384921086743</v>
      </c>
      <c r="AK49" s="30">
        <f t="shared" si="119"/>
        <v>3.0099531370428112</v>
      </c>
      <c r="AL49" s="39">
        <f t="shared" si="174"/>
        <v>3.0099531370428112</v>
      </c>
      <c r="AM49" s="30">
        <f t="shared" si="119"/>
        <v>3.3905192422225339</v>
      </c>
      <c r="AN49" s="39">
        <f t="shared" si="174"/>
        <v>3.3905192422225339</v>
      </c>
      <c r="AO49" s="30">
        <f t="shared" si="119"/>
        <v>3.5479656544501479</v>
      </c>
      <c r="AP49" s="39">
        <f t="shared" si="174"/>
        <v>3.5479656544501479</v>
      </c>
      <c r="AQ49" s="30">
        <f t="shared" si="120"/>
        <v>3.9142706011442865</v>
      </c>
      <c r="AR49" s="39">
        <f t="shared" si="174"/>
        <v>3.9142706011442865</v>
      </c>
      <c r="AS49" s="30">
        <f t="shared" si="120"/>
        <v>4.074470068414116</v>
      </c>
      <c r="AT49" s="39">
        <f t="shared" si="174"/>
        <v>4.074470068414116</v>
      </c>
      <c r="AU49" s="30">
        <f t="shared" si="120"/>
        <v>4.4208141506520091</v>
      </c>
      <c r="AV49" s="39">
        <f t="shared" si="174"/>
        <v>4.4208141506520091</v>
      </c>
      <c r="AW49" s="30">
        <f t="shared" si="120"/>
        <v>4.5808521433261484</v>
      </c>
      <c r="AX49" s="39">
        <f t="shared" si="174"/>
        <v>4.5808521433261484</v>
      </c>
      <c r="AY49" s="30">
        <f t="shared" si="120"/>
        <v>4.9043222639058213</v>
      </c>
      <c r="AZ49" s="39">
        <f t="shared" si="174"/>
        <v>4.9043222639058213</v>
      </c>
      <c r="BA49" s="30">
        <f t="shared" si="120"/>
        <v>5.0577679259894683</v>
      </c>
      <c r="BB49" s="39">
        <f t="shared" si="174"/>
        <v>5.0577679259894683</v>
      </c>
      <c r="BC49" s="30">
        <f t="shared" si="120"/>
        <v>5.3649731706610719</v>
      </c>
      <c r="BD49" s="39">
        <f t="shared" si="174"/>
        <v>5.3649731706610719</v>
      </c>
      <c r="BE49" s="30">
        <f t="shared" si="120"/>
        <v>5.5118046032473655</v>
      </c>
      <c r="BF49" s="39">
        <f t="shared" si="174"/>
        <v>5.5118046032473655</v>
      </c>
      <c r="BG49" s="30">
        <f t="shared" si="118"/>
        <v>5.8018971286480214</v>
      </c>
      <c r="BH49" s="39">
        <f t="shared" si="174"/>
        <v>5.8018971286480214</v>
      </c>
    </row>
    <row r="50" spans="2:60" x14ac:dyDescent="0.3">
      <c r="B50" s="34"/>
      <c r="C50" s="35" t="s">
        <v>37</v>
      </c>
      <c r="D50" s="36">
        <f t="shared" si="178"/>
        <v>-1.2</v>
      </c>
      <c r="E50" s="28">
        <v>0</v>
      </c>
      <c r="F50" s="38">
        <v>0</v>
      </c>
      <c r="G50" s="5">
        <f t="shared" si="114"/>
        <v>0</v>
      </c>
      <c r="H50" s="38">
        <f t="shared" si="175"/>
        <v>0</v>
      </c>
      <c r="I50" s="28">
        <f t="shared" si="2"/>
        <v>0</v>
      </c>
      <c r="J50" s="38">
        <f t="shared" si="176"/>
        <v>0</v>
      </c>
      <c r="K50" s="30">
        <f t="shared" si="121"/>
        <v>0</v>
      </c>
      <c r="L50" s="39">
        <f t="shared" si="177"/>
        <v>0</v>
      </c>
      <c r="M50" s="30">
        <f t="shared" si="122"/>
        <v>0</v>
      </c>
      <c r="N50" s="39">
        <f t="shared" si="177"/>
        <v>0</v>
      </c>
      <c r="O50" s="30">
        <f t="shared" si="122"/>
        <v>0</v>
      </c>
      <c r="P50" s="39">
        <f t="shared" si="177"/>
        <v>0</v>
      </c>
      <c r="Q50" s="30">
        <f t="shared" si="122"/>
        <v>0.12801289237668162</v>
      </c>
      <c r="R50" s="39">
        <f t="shared" si="177"/>
        <v>0.12801289237668162</v>
      </c>
      <c r="S50" s="30">
        <f t="shared" si="122"/>
        <v>0.15646020179372197</v>
      </c>
      <c r="T50" s="39">
        <f t="shared" si="177"/>
        <v>0.15646020179372197</v>
      </c>
      <c r="U50" s="30">
        <f t="shared" si="122"/>
        <v>0.37977158071748884</v>
      </c>
      <c r="V50" s="39">
        <f t="shared" si="177"/>
        <v>0.37977158071748884</v>
      </c>
      <c r="W50" s="30">
        <f t="shared" si="122"/>
        <v>0.43239910313901347</v>
      </c>
      <c r="X50" s="39">
        <f t="shared" si="177"/>
        <v>0.43239910313901347</v>
      </c>
      <c r="Y50" s="30">
        <f t="shared" si="122"/>
        <v>0.70816020880044839</v>
      </c>
      <c r="Z50" s="39">
        <f t="shared" si="177"/>
        <v>0.70816020880044839</v>
      </c>
      <c r="AA50" s="30">
        <f t="shared" si="122"/>
        <v>0.78390117012331839</v>
      </c>
      <c r="AB50" s="39">
        <f t="shared" si="174"/>
        <v>0.78390117012331839</v>
      </c>
      <c r="AC50" s="30">
        <f t="shared" si="119"/>
        <v>1.0873095046244394</v>
      </c>
      <c r="AD50" s="39">
        <f t="shared" si="174"/>
        <v>1.0873095046244394</v>
      </c>
      <c r="AE50" s="30">
        <f t="shared" si="119"/>
        <v>1.1778964055493273</v>
      </c>
      <c r="AF50" s="39">
        <f t="shared" si="174"/>
        <v>1.1778964055493273</v>
      </c>
      <c r="AG50" s="30">
        <f t="shared" si="119"/>
        <v>1.4919835933120797</v>
      </c>
      <c r="AH50" s="39">
        <f t="shared" si="174"/>
        <v>1.4919835933120797</v>
      </c>
      <c r="AI50" s="30">
        <f t="shared" si="119"/>
        <v>1.5925937259143779</v>
      </c>
      <c r="AJ50" s="39">
        <f t="shared" si="174"/>
        <v>1.5925937259143779</v>
      </c>
      <c r="AK50" s="30">
        <f t="shared" si="119"/>
        <v>1.9045195848952494</v>
      </c>
      <c r="AL50" s="39">
        <f t="shared" si="174"/>
        <v>1.9045195848952494</v>
      </c>
      <c r="AM50" s="30">
        <f t="shared" si="119"/>
        <v>2.0118248362177691</v>
      </c>
      <c r="AN50" s="39">
        <f t="shared" si="174"/>
        <v>2.0118248362177691</v>
      </c>
      <c r="AO50" s="30">
        <f t="shared" si="119"/>
        <v>2.3189529897920753</v>
      </c>
      <c r="AP50" s="39">
        <f t="shared" si="174"/>
        <v>2.3189529897920753</v>
      </c>
      <c r="AQ50" s="30">
        <f t="shared" si="120"/>
        <v>2.4361120112808301</v>
      </c>
      <c r="AR50" s="39">
        <f t="shared" si="174"/>
        <v>2.4361120112808301</v>
      </c>
      <c r="AS50" s="30">
        <f t="shared" si="120"/>
        <v>2.7383743970383447</v>
      </c>
      <c r="AT50" s="39">
        <f t="shared" si="174"/>
        <v>2.7383743970383447</v>
      </c>
      <c r="AU50" s="30">
        <f t="shared" si="120"/>
        <v>2.8611881546910038</v>
      </c>
      <c r="AV50" s="39">
        <f t="shared" si="174"/>
        <v>2.8611881546910038</v>
      </c>
      <c r="AW50" s="30">
        <f t="shared" si="120"/>
        <v>3.1546164042211973</v>
      </c>
      <c r="AX50" s="39">
        <f t="shared" si="174"/>
        <v>3.1546164042211973</v>
      </c>
      <c r="AY50" s="30">
        <f t="shared" si="120"/>
        <v>3.2806049607794385</v>
      </c>
      <c r="AZ50" s="39">
        <f t="shared" si="174"/>
        <v>3.2806049607794385</v>
      </c>
      <c r="BA50" s="30">
        <f t="shared" si="120"/>
        <v>3.5620656421900869</v>
      </c>
      <c r="BB50" s="39">
        <f t="shared" si="174"/>
        <v>3.5620656421900869</v>
      </c>
      <c r="BC50" s="30">
        <f t="shared" si="120"/>
        <v>3.6871327951884596</v>
      </c>
      <c r="BD50" s="39">
        <f t="shared" si="174"/>
        <v>3.6871327951884596</v>
      </c>
      <c r="BE50" s="30">
        <f t="shared" si="120"/>
        <v>3.9584307045011782</v>
      </c>
      <c r="BF50" s="39">
        <f t="shared" si="174"/>
        <v>3.9584307045011782</v>
      </c>
      <c r="BG50" s="30">
        <f t="shared" si="118"/>
        <v>4.0812570122459011</v>
      </c>
      <c r="BH50" s="39">
        <f t="shared" si="174"/>
        <v>4.0812570122459011</v>
      </c>
    </row>
    <row r="51" spans="2:60" x14ac:dyDescent="0.3">
      <c r="B51" s="34"/>
      <c r="C51" s="35" t="s">
        <v>37</v>
      </c>
      <c r="D51" s="36">
        <f t="shared" si="178"/>
        <v>-1.4</v>
      </c>
      <c r="E51" s="28">
        <v>0</v>
      </c>
      <c r="F51" s="38">
        <v>0</v>
      </c>
      <c r="G51" s="5">
        <f t="shared" si="114"/>
        <v>0</v>
      </c>
      <c r="H51" s="38">
        <f t="shared" si="175"/>
        <v>0</v>
      </c>
      <c r="I51" s="28">
        <f t="shared" si="2"/>
        <v>0</v>
      </c>
      <c r="J51" s="38">
        <f t="shared" si="176"/>
        <v>0</v>
      </c>
      <c r="K51" s="30">
        <f t="shared" si="121"/>
        <v>0</v>
      </c>
      <c r="L51" s="39">
        <f t="shared" si="177"/>
        <v>0</v>
      </c>
      <c r="M51" s="30">
        <f t="shared" si="122"/>
        <v>0</v>
      </c>
      <c r="N51" s="39">
        <f t="shared" si="177"/>
        <v>0</v>
      </c>
      <c r="O51" s="30">
        <f t="shared" si="122"/>
        <v>0</v>
      </c>
      <c r="P51" s="39">
        <f t="shared" si="177"/>
        <v>0</v>
      </c>
      <c r="Q51" s="30">
        <f t="shared" si="122"/>
        <v>0</v>
      </c>
      <c r="R51" s="39">
        <f t="shared" si="177"/>
        <v>0</v>
      </c>
      <c r="S51" s="30">
        <f t="shared" si="122"/>
        <v>6.400644618834081E-2</v>
      </c>
      <c r="T51" s="39">
        <f t="shared" si="177"/>
        <v>6.400644618834081E-2</v>
      </c>
      <c r="U51" s="30">
        <f t="shared" si="122"/>
        <v>7.8230100896860985E-2</v>
      </c>
      <c r="V51" s="39">
        <f t="shared" si="177"/>
        <v>7.8230100896860985E-2</v>
      </c>
      <c r="W51" s="30">
        <f t="shared" si="122"/>
        <v>0.20588740190582963</v>
      </c>
      <c r="X51" s="39">
        <f t="shared" si="177"/>
        <v>0.20588740190582963</v>
      </c>
      <c r="Y51" s="30">
        <f t="shared" si="122"/>
        <v>0.23575707679372199</v>
      </c>
      <c r="Z51" s="39">
        <f t="shared" si="177"/>
        <v>0.23575707679372199</v>
      </c>
      <c r="AA51" s="30">
        <f t="shared" si="122"/>
        <v>0.40955235776345289</v>
      </c>
      <c r="AB51" s="39">
        <f t="shared" si="174"/>
        <v>0.40955235776345289</v>
      </c>
      <c r="AC51" s="30">
        <f t="shared" si="119"/>
        <v>0.45577923556614353</v>
      </c>
      <c r="AD51" s="39">
        <f t="shared" si="174"/>
        <v>0.45577923556614353</v>
      </c>
      <c r="AE51" s="30">
        <f t="shared" si="119"/>
        <v>0.66091100581558293</v>
      </c>
      <c r="AF51" s="39">
        <f t="shared" si="174"/>
        <v>0.66091100581558293</v>
      </c>
      <c r="AG51" s="30">
        <f t="shared" si="119"/>
        <v>0.72007251961883401</v>
      </c>
      <c r="AH51" s="39">
        <f t="shared" si="174"/>
        <v>0.72007251961883401</v>
      </c>
      <c r="AI51" s="30">
        <f t="shared" si="119"/>
        <v>0.94450067768182455</v>
      </c>
      <c r="AJ51" s="39">
        <f t="shared" si="174"/>
        <v>0.94450067768182455</v>
      </c>
      <c r="AK51" s="30">
        <f t="shared" si="119"/>
        <v>1.013696535392727</v>
      </c>
      <c r="AL51" s="39">
        <f t="shared" si="174"/>
        <v>1.013696535392727</v>
      </c>
      <c r="AM51" s="30">
        <f t="shared" si="119"/>
        <v>1.2473867373616172</v>
      </c>
      <c r="AN51" s="39">
        <f t="shared" si="174"/>
        <v>1.2473867373616172</v>
      </c>
      <c r="AO51" s="30">
        <f t="shared" si="119"/>
        <v>1.3242583681115121</v>
      </c>
      <c r="AP51" s="39">
        <f t="shared" si="174"/>
        <v>1.3242583681115121</v>
      </c>
      <c r="AQ51" s="30">
        <f t="shared" si="120"/>
        <v>1.5624781929324025</v>
      </c>
      <c r="AR51" s="39">
        <f t="shared" si="174"/>
        <v>1.5624781929324025</v>
      </c>
      <c r="AS51" s="30">
        <f t="shared" si="120"/>
        <v>1.647906240967892</v>
      </c>
      <c r="AT51" s="39">
        <f t="shared" si="174"/>
        <v>1.647906240967892</v>
      </c>
      <c r="AU51" s="30">
        <f t="shared" si="120"/>
        <v>1.8884186577903852</v>
      </c>
      <c r="AV51" s="39">
        <f t="shared" si="174"/>
        <v>1.8884186577903852</v>
      </c>
      <c r="AW51" s="30">
        <f t="shared" si="120"/>
        <v>1.9803577782327286</v>
      </c>
      <c r="AX51" s="39">
        <f t="shared" si="174"/>
        <v>1.9803577782327286</v>
      </c>
      <c r="AY51" s="30">
        <f t="shared" si="120"/>
        <v>2.2198090204743526</v>
      </c>
      <c r="AZ51" s="39">
        <f t="shared" si="174"/>
        <v>2.2198090204743526</v>
      </c>
      <c r="BA51" s="30">
        <f t="shared" si="120"/>
        <v>2.3164976643874509</v>
      </c>
      <c r="BB51" s="39">
        <f t="shared" si="174"/>
        <v>2.3164976643874509</v>
      </c>
      <c r="BC51" s="30">
        <f t="shared" si="120"/>
        <v>2.5518882383412844</v>
      </c>
      <c r="BD51" s="39">
        <f t="shared" si="174"/>
        <v>2.5518882383412844</v>
      </c>
      <c r="BE51" s="30">
        <f t="shared" si="120"/>
        <v>2.6507094212444375</v>
      </c>
      <c r="BF51" s="39">
        <f t="shared" si="174"/>
        <v>2.6507094212444375</v>
      </c>
      <c r="BG51" s="30">
        <f t="shared" si="118"/>
        <v>2.8816202105361253</v>
      </c>
      <c r="BH51" s="39">
        <f t="shared" si="174"/>
        <v>2.8816202105361253</v>
      </c>
    </row>
    <row r="52" spans="2:60" x14ac:dyDescent="0.3">
      <c r="B52" s="34"/>
      <c r="C52" s="35" t="s">
        <v>37</v>
      </c>
      <c r="D52" s="36">
        <f t="shared" si="178"/>
        <v>-1.5999999999999999</v>
      </c>
      <c r="E52" s="28">
        <v>0</v>
      </c>
      <c r="F52" s="38">
        <v>0</v>
      </c>
      <c r="G52" s="5">
        <f t="shared" si="114"/>
        <v>0</v>
      </c>
      <c r="H52" s="38">
        <f t="shared" si="175"/>
        <v>0</v>
      </c>
      <c r="I52" s="28">
        <f t="shared" si="2"/>
        <v>0</v>
      </c>
      <c r="J52" s="38">
        <f t="shared" si="176"/>
        <v>0</v>
      </c>
      <c r="K52" s="30">
        <f t="shared" si="121"/>
        <v>0</v>
      </c>
      <c r="L52" s="39">
        <f t="shared" si="177"/>
        <v>0</v>
      </c>
      <c r="M52" s="30">
        <f t="shared" si="122"/>
        <v>0</v>
      </c>
      <c r="N52" s="39">
        <f t="shared" si="177"/>
        <v>0</v>
      </c>
      <c r="O52" s="30">
        <f t="shared" si="122"/>
        <v>0</v>
      </c>
      <c r="P52" s="39">
        <f t="shared" si="177"/>
        <v>0</v>
      </c>
      <c r="Q52" s="30">
        <f t="shared" si="122"/>
        <v>0</v>
      </c>
      <c r="R52" s="39">
        <f t="shared" si="177"/>
        <v>0</v>
      </c>
      <c r="S52" s="30">
        <f t="shared" si="122"/>
        <v>0</v>
      </c>
      <c r="T52" s="39">
        <f t="shared" si="177"/>
        <v>0</v>
      </c>
      <c r="U52" s="30">
        <f t="shared" si="122"/>
        <v>3.2003223094170405E-2</v>
      </c>
      <c r="V52" s="39">
        <f t="shared" si="177"/>
        <v>3.2003223094170405E-2</v>
      </c>
      <c r="W52" s="30">
        <f t="shared" si="122"/>
        <v>3.9115050448430493E-2</v>
      </c>
      <c r="X52" s="39">
        <f t="shared" si="177"/>
        <v>3.9115050448430493E-2</v>
      </c>
      <c r="Y52" s="30">
        <f t="shared" si="122"/>
        <v>0.11094450672645742</v>
      </c>
      <c r="Z52" s="39">
        <f t="shared" si="177"/>
        <v>0.11094450672645742</v>
      </c>
      <c r="AA52" s="30">
        <f t="shared" si="122"/>
        <v>0.1276573010089686</v>
      </c>
      <c r="AB52" s="39">
        <f t="shared" si="174"/>
        <v>0.1276573010089686</v>
      </c>
      <c r="AC52" s="30">
        <f t="shared" si="119"/>
        <v>0.23451250700672646</v>
      </c>
      <c r="AD52" s="39">
        <f t="shared" si="174"/>
        <v>0.23451250700672646</v>
      </c>
      <c r="AE52" s="30">
        <f t="shared" si="119"/>
        <v>0.26224863368834084</v>
      </c>
      <c r="AF52" s="39">
        <f t="shared" si="174"/>
        <v>0.26224863368834084</v>
      </c>
      <c r="AG52" s="30">
        <f t="shared" si="119"/>
        <v>0.39701776205156947</v>
      </c>
      <c r="AH52" s="39">
        <f t="shared" si="174"/>
        <v>0.39701776205156947</v>
      </c>
      <c r="AI52" s="30">
        <f t="shared" si="119"/>
        <v>0.43479934487107619</v>
      </c>
      <c r="AJ52" s="39">
        <f t="shared" si="174"/>
        <v>0.43479934487107619</v>
      </c>
      <c r="AK52" s="30">
        <f t="shared" si="119"/>
        <v>0.59025388982798488</v>
      </c>
      <c r="AL52" s="39">
        <f t="shared" si="174"/>
        <v>0.59025388982798488</v>
      </c>
      <c r="AM52" s="30">
        <f t="shared" si="119"/>
        <v>0.636691900005255</v>
      </c>
      <c r="AN52" s="39">
        <f t="shared" si="174"/>
        <v>0.636691900005255</v>
      </c>
      <c r="AO52" s="30">
        <f t="shared" si="119"/>
        <v>0.80600339607272986</v>
      </c>
      <c r="AP52" s="39">
        <f t="shared" si="174"/>
        <v>0.80600339607272986</v>
      </c>
      <c r="AQ52" s="30">
        <f t="shared" si="120"/>
        <v>0.85970047065495381</v>
      </c>
      <c r="AR52" s="39">
        <f t="shared" si="174"/>
        <v>0.85970047065495381</v>
      </c>
      <c r="AS52" s="30">
        <f t="shared" si="120"/>
        <v>1.0384629185424257</v>
      </c>
      <c r="AT52" s="39">
        <f t="shared" si="174"/>
        <v>1.0384629185424257</v>
      </c>
      <c r="AU52" s="30">
        <f t="shared" si="120"/>
        <v>1.0995274017744536</v>
      </c>
      <c r="AV52" s="39">
        <f t="shared" si="174"/>
        <v>1.0995274017744536</v>
      </c>
      <c r="AW52" s="30">
        <f t="shared" si="120"/>
        <v>1.2850016367275083</v>
      </c>
      <c r="AX52" s="39">
        <f t="shared" si="174"/>
        <v>1.2850016367275083</v>
      </c>
      <c r="AY52" s="30">
        <f t="shared" si="120"/>
        <v>1.3523903679954632</v>
      </c>
      <c r="AZ52" s="39">
        <f t="shared" si="174"/>
        <v>1.3523903679954632</v>
      </c>
      <c r="BA52" s="30">
        <f t="shared" si="120"/>
        <v>1.5417108344924824</v>
      </c>
      <c r="BB52" s="39">
        <f t="shared" si="174"/>
        <v>1.5417108344924824</v>
      </c>
      <c r="BC52" s="30">
        <f t="shared" si="120"/>
        <v>1.6142860473004159</v>
      </c>
      <c r="BD52" s="39">
        <f t="shared" si="174"/>
        <v>1.6142860473004159</v>
      </c>
      <c r="BE52" s="30">
        <f t="shared" si="120"/>
        <v>1.8048097165710724</v>
      </c>
      <c r="BF52" s="39">
        <f t="shared" si="174"/>
        <v>1.8048097165710724</v>
      </c>
      <c r="BG52" s="30">
        <f t="shared" si="118"/>
        <v>1.8809269039352914</v>
      </c>
      <c r="BH52" s="39">
        <f t="shared" si="174"/>
        <v>1.8809269039352914</v>
      </c>
    </row>
    <row r="53" spans="2:60" x14ac:dyDescent="0.3">
      <c r="B53" s="34"/>
      <c r="C53" s="35" t="s">
        <v>37</v>
      </c>
      <c r="D53" s="36">
        <f t="shared" si="178"/>
        <v>-1.7999999999999998</v>
      </c>
      <c r="E53" s="28">
        <v>0</v>
      </c>
      <c r="F53" s="38">
        <v>0</v>
      </c>
      <c r="G53" s="5">
        <f t="shared" si="114"/>
        <v>0</v>
      </c>
      <c r="H53" s="38">
        <f t="shared" si="175"/>
        <v>0</v>
      </c>
      <c r="I53" s="28">
        <f t="shared" si="2"/>
        <v>0</v>
      </c>
      <c r="J53" s="38">
        <f t="shared" si="176"/>
        <v>0</v>
      </c>
      <c r="K53" s="30">
        <f t="shared" si="121"/>
        <v>0</v>
      </c>
      <c r="L53" s="39">
        <f t="shared" si="177"/>
        <v>0</v>
      </c>
      <c r="M53" s="30">
        <f t="shared" si="122"/>
        <v>0</v>
      </c>
      <c r="N53" s="39">
        <f t="shared" si="177"/>
        <v>0</v>
      </c>
      <c r="O53" s="30">
        <f t="shared" si="122"/>
        <v>0</v>
      </c>
      <c r="P53" s="39">
        <f t="shared" si="177"/>
        <v>0</v>
      </c>
      <c r="Q53" s="30">
        <f t="shared" si="122"/>
        <v>0</v>
      </c>
      <c r="R53" s="39">
        <f t="shared" si="177"/>
        <v>0</v>
      </c>
      <c r="S53" s="30">
        <f t="shared" si="122"/>
        <v>0</v>
      </c>
      <c r="T53" s="39">
        <f t="shared" si="177"/>
        <v>0</v>
      </c>
      <c r="U53" s="30">
        <f t="shared" si="122"/>
        <v>0</v>
      </c>
      <c r="V53" s="39">
        <f t="shared" si="177"/>
        <v>0</v>
      </c>
      <c r="W53" s="30">
        <f t="shared" si="122"/>
        <v>1.6001611547085202E-2</v>
      </c>
      <c r="X53" s="39">
        <f t="shared" si="177"/>
        <v>1.6001611547085202E-2</v>
      </c>
      <c r="Y53" s="30">
        <f t="shared" si="122"/>
        <v>1.9557525224215246E-2</v>
      </c>
      <c r="Z53" s="39">
        <f t="shared" si="177"/>
        <v>1.9557525224215246E-2</v>
      </c>
      <c r="AA53" s="30">
        <f t="shared" si="122"/>
        <v>5.9472656250000012E-2</v>
      </c>
      <c r="AB53" s="39">
        <f t="shared" si="174"/>
        <v>5.9472656250000012E-2</v>
      </c>
      <c r="AC53" s="30">
        <f t="shared" si="119"/>
        <v>6.8718031810538108E-2</v>
      </c>
      <c r="AD53" s="39">
        <f t="shared" si="174"/>
        <v>6.8718031810538108E-2</v>
      </c>
      <c r="AE53" s="30">
        <f t="shared" si="119"/>
        <v>0.13312451828755606</v>
      </c>
      <c r="AF53" s="39">
        <f t="shared" si="174"/>
        <v>0.13312451828755606</v>
      </c>
      <c r="AG53" s="30">
        <f t="shared" si="119"/>
        <v>0.1495261701233184</v>
      </c>
      <c r="AH53" s="39">
        <f t="shared" si="174"/>
        <v>0.1495261701233184</v>
      </c>
      <c r="AI53" s="30">
        <f t="shared" si="119"/>
        <v>0.23600710197414515</v>
      </c>
      <c r="AJ53" s="39">
        <f t="shared" si="174"/>
        <v>0.23600710197414515</v>
      </c>
      <c r="AK53" s="30">
        <f t="shared" si="119"/>
        <v>0.25968726461778302</v>
      </c>
      <c r="AL53" s="39">
        <f t="shared" si="174"/>
        <v>0.25968726461778302</v>
      </c>
      <c r="AM53" s="30">
        <f t="shared" si="119"/>
        <v>0.36462005478384252</v>
      </c>
      <c r="AN53" s="39">
        <f t="shared" si="174"/>
        <v>0.36462005478384252</v>
      </c>
      <c r="AO53" s="30">
        <f t="shared" si="119"/>
        <v>0.39514257319839541</v>
      </c>
      <c r="AP53" s="39">
        <f t="shared" si="174"/>
        <v>0.39514257319839541</v>
      </c>
      <c r="AQ53" s="30">
        <f t="shared" si="120"/>
        <v>0.51444764415244881</v>
      </c>
      <c r="AR53" s="39">
        <f t="shared" si="174"/>
        <v>0.51444764415244881</v>
      </c>
      <c r="AS53" s="30">
        <f t="shared" si="120"/>
        <v>0.5511485625810153</v>
      </c>
      <c r="AT53" s="39">
        <f t="shared" si="174"/>
        <v>0.5511485625810153</v>
      </c>
      <c r="AU53" s="30">
        <f t="shared" si="120"/>
        <v>0.68158461566463169</v>
      </c>
      <c r="AV53" s="39">
        <f t="shared" si="174"/>
        <v>0.68158461566463169</v>
      </c>
      <c r="AW53" s="30">
        <f t="shared" si="120"/>
        <v>0.72442295775819798</v>
      </c>
      <c r="AX53" s="39">
        <f t="shared" si="174"/>
        <v>0.72442295775819798</v>
      </c>
      <c r="AY53" s="30">
        <f t="shared" si="120"/>
        <v>0.86361264851061215</v>
      </c>
      <c r="AZ53" s="39">
        <f t="shared" si="174"/>
        <v>0.86361264851061215</v>
      </c>
      <c r="BA53" s="30">
        <f t="shared" si="120"/>
        <v>0.91207443021338086</v>
      </c>
      <c r="BB53" s="39">
        <f t="shared" si="174"/>
        <v>0.91207443021338086</v>
      </c>
      <c r="BC53" s="30">
        <f t="shared" si="120"/>
        <v>1.0577311948008601</v>
      </c>
      <c r="BD53" s="39">
        <f t="shared" si="174"/>
        <v>1.0577311948008601</v>
      </c>
      <c r="BE53" s="30">
        <f t="shared" si="120"/>
        <v>1.1111443866261452</v>
      </c>
      <c r="BF53" s="39">
        <f t="shared" si="174"/>
        <v>1.1111443866261452</v>
      </c>
      <c r="BG53" s="30">
        <f t="shared" ref="M53:BG64" si="179">(BF54+BF52)/2</f>
        <v>1.2611149415106517</v>
      </c>
      <c r="BH53" s="39">
        <f t="shared" si="174"/>
        <v>1.2611149415106517</v>
      </c>
    </row>
    <row r="54" spans="2:60" x14ac:dyDescent="0.3">
      <c r="B54" s="34"/>
      <c r="C54" s="35" t="s">
        <v>37</v>
      </c>
      <c r="D54" s="36">
        <f t="shared" si="178"/>
        <v>-1.9999999999999998</v>
      </c>
      <c r="E54" s="28">
        <v>0</v>
      </c>
      <c r="F54" s="38">
        <v>0</v>
      </c>
      <c r="G54" s="5">
        <f t="shared" si="114"/>
        <v>0</v>
      </c>
      <c r="H54" s="38">
        <f t="shared" si="175"/>
        <v>0</v>
      </c>
      <c r="I54" s="28">
        <f t="shared" si="2"/>
        <v>0</v>
      </c>
      <c r="J54" s="38">
        <f t="shared" si="176"/>
        <v>0</v>
      </c>
      <c r="K54" s="30">
        <f t="shared" si="121"/>
        <v>0</v>
      </c>
      <c r="L54" s="39">
        <f t="shared" si="177"/>
        <v>0</v>
      </c>
      <c r="M54" s="30">
        <f t="shared" si="179"/>
        <v>0</v>
      </c>
      <c r="N54" s="39">
        <f t="shared" si="177"/>
        <v>0</v>
      </c>
      <c r="O54" s="30">
        <f t="shared" si="179"/>
        <v>0</v>
      </c>
      <c r="P54" s="39">
        <f t="shared" si="177"/>
        <v>0</v>
      </c>
      <c r="Q54" s="30">
        <f t="shared" si="179"/>
        <v>0</v>
      </c>
      <c r="R54" s="39">
        <f t="shared" si="177"/>
        <v>0</v>
      </c>
      <c r="S54" s="30">
        <f t="shared" si="179"/>
        <v>0</v>
      </c>
      <c r="T54" s="39">
        <f t="shared" si="177"/>
        <v>0</v>
      </c>
      <c r="U54" s="30">
        <f t="shared" si="179"/>
        <v>0</v>
      </c>
      <c r="V54" s="39">
        <f t="shared" si="177"/>
        <v>0</v>
      </c>
      <c r="W54" s="30">
        <f t="shared" si="179"/>
        <v>0</v>
      </c>
      <c r="X54" s="39">
        <f t="shared" si="177"/>
        <v>0</v>
      </c>
      <c r="Y54" s="30">
        <f t="shared" si="179"/>
        <v>8.0008057735426012E-3</v>
      </c>
      <c r="Z54" s="39">
        <f t="shared" si="177"/>
        <v>8.0008057735426012E-3</v>
      </c>
      <c r="AA54" s="30">
        <f t="shared" si="179"/>
        <v>9.7787626121076231E-3</v>
      </c>
      <c r="AB54" s="39">
        <f t="shared" si="174"/>
        <v>9.7787626121076231E-3</v>
      </c>
      <c r="AC54" s="30">
        <f t="shared" si="179"/>
        <v>3.1736529568385657E-2</v>
      </c>
      <c r="AD54" s="39">
        <f t="shared" si="174"/>
        <v>3.1736529568385657E-2</v>
      </c>
      <c r="AE54" s="30">
        <f t="shared" si="179"/>
        <v>3.6803706558295957E-2</v>
      </c>
      <c r="AF54" s="39">
        <f t="shared" si="174"/>
        <v>3.6803706558295957E-2</v>
      </c>
      <c r="AG54" s="30">
        <f t="shared" si="179"/>
        <v>7.4996441896720861E-2</v>
      </c>
      <c r="AH54" s="39">
        <f t="shared" si="174"/>
        <v>7.4996441896720861E-2</v>
      </c>
      <c r="AI54" s="30">
        <f t="shared" si="179"/>
        <v>8.4575184364489908E-2</v>
      </c>
      <c r="AJ54" s="39">
        <f t="shared" si="174"/>
        <v>8.4575184364489908E-2</v>
      </c>
      <c r="AK54" s="30">
        <f t="shared" si="179"/>
        <v>0.1389862197397001</v>
      </c>
      <c r="AL54" s="39">
        <f t="shared" si="174"/>
        <v>0.1389862197397001</v>
      </c>
      <c r="AM54" s="30">
        <f t="shared" si="179"/>
        <v>0.15359324639153585</v>
      </c>
      <c r="AN54" s="39">
        <f t="shared" si="174"/>
        <v>0.15359324639153585</v>
      </c>
      <c r="AO54" s="30">
        <f t="shared" si="179"/>
        <v>0.22289189223216788</v>
      </c>
      <c r="AP54" s="39">
        <f t="shared" si="174"/>
        <v>0.22289189223216788</v>
      </c>
      <c r="AQ54" s="30">
        <f t="shared" si="179"/>
        <v>0.24259665450707676</v>
      </c>
      <c r="AR54" s="39">
        <f t="shared" si="174"/>
        <v>0.24259665450707676</v>
      </c>
      <c r="AS54" s="30">
        <f t="shared" si="179"/>
        <v>0.32470631278683781</v>
      </c>
      <c r="AT54" s="39">
        <f t="shared" si="174"/>
        <v>0.32470631278683781</v>
      </c>
      <c r="AU54" s="30">
        <f t="shared" si="179"/>
        <v>0.34931851374194228</v>
      </c>
      <c r="AV54" s="39">
        <f t="shared" si="174"/>
        <v>0.34931851374194228</v>
      </c>
      <c r="AW54" s="30">
        <f t="shared" si="179"/>
        <v>0.44222366029371585</v>
      </c>
      <c r="AX54" s="39">
        <f t="shared" si="174"/>
        <v>0.44222366029371585</v>
      </c>
      <c r="AY54" s="30">
        <f t="shared" si="179"/>
        <v>0.47175849243129853</v>
      </c>
      <c r="AZ54" s="39">
        <f t="shared" si="174"/>
        <v>0.47175849243129853</v>
      </c>
      <c r="BA54" s="30">
        <f t="shared" si="179"/>
        <v>0.57375155510923781</v>
      </c>
      <c r="BB54" s="39">
        <f t="shared" si="174"/>
        <v>0.57375155510923781</v>
      </c>
      <c r="BC54" s="30">
        <f t="shared" si="179"/>
        <v>0.60800272595187477</v>
      </c>
      <c r="BD54" s="39">
        <f t="shared" si="174"/>
        <v>0.60800272595187477</v>
      </c>
      <c r="BE54" s="30">
        <f t="shared" si="179"/>
        <v>0.71742016645023099</v>
      </c>
      <c r="BF54" s="39">
        <f t="shared" si="174"/>
        <v>0.71742016645023099</v>
      </c>
      <c r="BG54" s="30">
        <f t="shared" si="179"/>
        <v>0.75603985993584177</v>
      </c>
      <c r="BH54" s="39">
        <f t="shared" si="174"/>
        <v>0.75603985993584177</v>
      </c>
    </row>
    <row r="55" spans="2:60" x14ac:dyDescent="0.3">
      <c r="B55" s="34"/>
      <c r="C55" s="35" t="s">
        <v>37</v>
      </c>
      <c r="D55" s="36">
        <f t="shared" si="178"/>
        <v>-2.1999999999999997</v>
      </c>
      <c r="E55" s="28">
        <v>0</v>
      </c>
      <c r="F55" s="38">
        <v>0</v>
      </c>
      <c r="G55" s="5">
        <f t="shared" si="114"/>
        <v>0</v>
      </c>
      <c r="H55" s="38">
        <f t="shared" si="175"/>
        <v>0</v>
      </c>
      <c r="I55" s="28">
        <f t="shared" si="2"/>
        <v>0</v>
      </c>
      <c r="J55" s="38">
        <f t="shared" si="176"/>
        <v>0</v>
      </c>
      <c r="K55" s="30">
        <f t="shared" si="121"/>
        <v>0</v>
      </c>
      <c r="L55" s="39">
        <f t="shared" si="177"/>
        <v>0</v>
      </c>
      <c r="M55" s="30">
        <f t="shared" si="179"/>
        <v>0</v>
      </c>
      <c r="N55" s="39">
        <f t="shared" si="177"/>
        <v>0</v>
      </c>
      <c r="O55" s="30">
        <f t="shared" si="179"/>
        <v>0</v>
      </c>
      <c r="P55" s="39">
        <f t="shared" si="177"/>
        <v>0</v>
      </c>
      <c r="Q55" s="30">
        <f t="shared" si="179"/>
        <v>0</v>
      </c>
      <c r="R55" s="39">
        <f t="shared" si="177"/>
        <v>0</v>
      </c>
      <c r="S55" s="30">
        <f t="shared" si="179"/>
        <v>0</v>
      </c>
      <c r="T55" s="39">
        <f t="shared" si="177"/>
        <v>0</v>
      </c>
      <c r="U55" s="30">
        <f t="shared" si="179"/>
        <v>0</v>
      </c>
      <c r="V55" s="39">
        <f t="shared" si="177"/>
        <v>0</v>
      </c>
      <c r="W55" s="30">
        <f t="shared" si="179"/>
        <v>0</v>
      </c>
      <c r="X55" s="39">
        <f t="shared" si="177"/>
        <v>0</v>
      </c>
      <c r="Y55" s="30">
        <f t="shared" si="179"/>
        <v>0</v>
      </c>
      <c r="Z55" s="39">
        <f t="shared" si="177"/>
        <v>0</v>
      </c>
      <c r="AA55" s="30">
        <f t="shared" si="179"/>
        <v>4.0004028867713006E-3</v>
      </c>
      <c r="AB55" s="39">
        <f t="shared" si="174"/>
        <v>4.0004028867713006E-3</v>
      </c>
      <c r="AC55" s="30">
        <f t="shared" si="179"/>
        <v>4.8893813060538116E-3</v>
      </c>
      <c r="AD55" s="39">
        <f t="shared" si="174"/>
        <v>4.8893813060538116E-3</v>
      </c>
      <c r="AE55" s="30">
        <f t="shared" si="179"/>
        <v>1.6868365505885653E-2</v>
      </c>
      <c r="AF55" s="39">
        <f t="shared" si="174"/>
        <v>1.6868365505885653E-2</v>
      </c>
      <c r="AG55" s="30">
        <f t="shared" si="179"/>
        <v>1.962419860566143E-2</v>
      </c>
      <c r="AH55" s="39">
        <f t="shared" si="174"/>
        <v>1.962419860566143E-2</v>
      </c>
      <c r="AI55" s="30">
        <f t="shared" si="179"/>
        <v>4.1965337505255051E-2</v>
      </c>
      <c r="AJ55" s="39">
        <f t="shared" si="174"/>
        <v>4.1965337505255051E-2</v>
      </c>
      <c r="AK55" s="30">
        <f t="shared" si="179"/>
        <v>4.7499228165288676E-2</v>
      </c>
      <c r="AL55" s="39">
        <f t="shared" si="174"/>
        <v>4.7499228165288676E-2</v>
      </c>
      <c r="AM55" s="30">
        <f t="shared" si="179"/>
        <v>8.1163729680493263E-2</v>
      </c>
      <c r="AN55" s="39">
        <f t="shared" si="174"/>
        <v>8.1163729680493263E-2</v>
      </c>
      <c r="AO55" s="30">
        <f t="shared" si="179"/>
        <v>9.0050735815758121E-2</v>
      </c>
      <c r="AP55" s="39">
        <f t="shared" si="174"/>
        <v>9.0050735815758121E-2</v>
      </c>
      <c r="AQ55" s="30">
        <f t="shared" si="179"/>
        <v>0.13496498142122687</v>
      </c>
      <c r="AR55" s="39">
        <f t="shared" si="174"/>
        <v>0.13496498142122687</v>
      </c>
      <c r="AS55" s="30">
        <f t="shared" si="179"/>
        <v>0.14748846490286924</v>
      </c>
      <c r="AT55" s="39">
        <f t="shared" si="174"/>
        <v>0.14748846490286924</v>
      </c>
      <c r="AU55" s="30">
        <f t="shared" si="179"/>
        <v>0.20286270492280006</v>
      </c>
      <c r="AV55" s="39">
        <f t="shared" si="174"/>
        <v>0.20286270492280006</v>
      </c>
      <c r="AW55" s="30">
        <f t="shared" si="179"/>
        <v>0.21909402710439912</v>
      </c>
      <c r="AX55" s="39">
        <f t="shared" si="174"/>
        <v>0.21909402710439912</v>
      </c>
      <c r="AY55" s="30">
        <f t="shared" si="179"/>
        <v>0.28389046170786347</v>
      </c>
      <c r="AZ55" s="39">
        <f t="shared" si="174"/>
        <v>0.28389046170786347</v>
      </c>
      <c r="BA55" s="30">
        <f t="shared" si="179"/>
        <v>0.30393102169036867</v>
      </c>
      <c r="BB55" s="39">
        <f t="shared" si="174"/>
        <v>0.30393102169036867</v>
      </c>
      <c r="BC55" s="30">
        <f t="shared" si="179"/>
        <v>0.37710913809960189</v>
      </c>
      <c r="BD55" s="39">
        <f t="shared" si="174"/>
        <v>0.37710913809960189</v>
      </c>
      <c r="BE55" s="30">
        <f t="shared" si="179"/>
        <v>0.40093533324553832</v>
      </c>
      <c r="BF55" s="39">
        <f t="shared" si="174"/>
        <v>0.40093533324553832</v>
      </c>
      <c r="BG55" s="30">
        <f t="shared" si="179"/>
        <v>0.48140807401038066</v>
      </c>
      <c r="BH55" s="39">
        <f t="shared" si="174"/>
        <v>0.48140807401038066</v>
      </c>
    </row>
    <row r="56" spans="2:60" x14ac:dyDescent="0.3">
      <c r="B56" s="34"/>
      <c r="C56" s="35" t="s">
        <v>37</v>
      </c>
      <c r="D56" s="36">
        <f t="shared" si="178"/>
        <v>-2.4</v>
      </c>
      <c r="E56" s="28">
        <v>0</v>
      </c>
      <c r="F56" s="38">
        <v>0</v>
      </c>
      <c r="G56" s="5">
        <f t="shared" si="114"/>
        <v>0</v>
      </c>
      <c r="H56" s="38">
        <f t="shared" si="175"/>
        <v>0</v>
      </c>
      <c r="I56" s="28">
        <f t="shared" si="2"/>
        <v>0</v>
      </c>
      <c r="J56" s="38">
        <f t="shared" si="176"/>
        <v>0</v>
      </c>
      <c r="K56" s="30">
        <f t="shared" si="121"/>
        <v>0</v>
      </c>
      <c r="L56" s="39">
        <f t="shared" si="177"/>
        <v>0</v>
      </c>
      <c r="M56" s="30">
        <f t="shared" si="179"/>
        <v>0</v>
      </c>
      <c r="N56" s="39">
        <f t="shared" si="177"/>
        <v>0</v>
      </c>
      <c r="O56" s="30">
        <f t="shared" si="179"/>
        <v>0</v>
      </c>
      <c r="P56" s="39">
        <f t="shared" si="177"/>
        <v>0</v>
      </c>
      <c r="Q56" s="30">
        <f t="shared" si="179"/>
        <v>0</v>
      </c>
      <c r="R56" s="39">
        <f t="shared" si="177"/>
        <v>0</v>
      </c>
      <c r="S56" s="30">
        <f t="shared" si="179"/>
        <v>0</v>
      </c>
      <c r="T56" s="39">
        <f t="shared" si="177"/>
        <v>0</v>
      </c>
      <c r="U56" s="30">
        <f t="shared" si="179"/>
        <v>0</v>
      </c>
      <c r="V56" s="39">
        <f t="shared" si="177"/>
        <v>0</v>
      </c>
      <c r="W56" s="30">
        <f t="shared" si="179"/>
        <v>0</v>
      </c>
      <c r="X56" s="39">
        <f t="shared" si="177"/>
        <v>0</v>
      </c>
      <c r="Y56" s="30">
        <f t="shared" si="179"/>
        <v>0</v>
      </c>
      <c r="Z56" s="39">
        <f t="shared" si="177"/>
        <v>0</v>
      </c>
      <c r="AA56" s="30">
        <f t="shared" si="179"/>
        <v>0</v>
      </c>
      <c r="AB56" s="39">
        <f t="shared" si="174"/>
        <v>0</v>
      </c>
      <c r="AC56" s="30">
        <f t="shared" si="179"/>
        <v>2.0002014433856503E-3</v>
      </c>
      <c r="AD56" s="39">
        <f t="shared" si="174"/>
        <v>2.0002014433856503E-3</v>
      </c>
      <c r="AE56" s="30">
        <f t="shared" si="179"/>
        <v>2.4446906530269058E-3</v>
      </c>
      <c r="AF56" s="39">
        <f t="shared" si="174"/>
        <v>2.4446906530269058E-3</v>
      </c>
      <c r="AG56" s="30">
        <f t="shared" si="179"/>
        <v>8.9342331137892382E-3</v>
      </c>
      <c r="AH56" s="39">
        <f t="shared" si="174"/>
        <v>8.9342331137892382E-3</v>
      </c>
      <c r="AI56" s="30">
        <f t="shared" si="179"/>
        <v>1.0423271966087441E-2</v>
      </c>
      <c r="AJ56" s="39">
        <f t="shared" si="174"/>
        <v>1.0423271966087441E-2</v>
      </c>
      <c r="AK56" s="30">
        <f t="shared" si="179"/>
        <v>2.3341239621286439E-2</v>
      </c>
      <c r="AL56" s="39">
        <f t="shared" si="174"/>
        <v>2.3341239621286439E-2</v>
      </c>
      <c r="AM56" s="30">
        <f t="shared" si="179"/>
        <v>2.6508225239980379E-2</v>
      </c>
      <c r="AN56" s="39">
        <f t="shared" si="174"/>
        <v>2.6508225239980379E-2</v>
      </c>
      <c r="AO56" s="30">
        <f t="shared" si="179"/>
        <v>4.7038070610285872E-2</v>
      </c>
      <c r="AP56" s="39">
        <f t="shared" si="174"/>
        <v>4.7038070610285872E-2</v>
      </c>
      <c r="AQ56" s="30">
        <f t="shared" si="179"/>
        <v>5.238027529866171E-2</v>
      </c>
      <c r="AR56" s="39">
        <f t="shared" si="174"/>
        <v>5.238027529866171E-2</v>
      </c>
      <c r="AS56" s="30">
        <f t="shared" si="179"/>
        <v>8.101909705876234E-2</v>
      </c>
      <c r="AT56" s="39">
        <f t="shared" si="174"/>
        <v>8.101909705876234E-2</v>
      </c>
      <c r="AU56" s="30">
        <f t="shared" si="179"/>
        <v>8.8869540466855981E-2</v>
      </c>
      <c r="AV56" s="39">
        <f t="shared" si="174"/>
        <v>8.8869540466855981E-2</v>
      </c>
      <c r="AW56" s="30">
        <f t="shared" si="179"/>
        <v>0.12555726312201115</v>
      </c>
      <c r="AX56" s="39">
        <f t="shared" si="174"/>
        <v>0.12555726312201115</v>
      </c>
      <c r="AY56" s="30">
        <f t="shared" si="179"/>
        <v>0.1361035509494388</v>
      </c>
      <c r="AZ56" s="39">
        <f t="shared" si="174"/>
        <v>0.1361035509494388</v>
      </c>
      <c r="BA56" s="30">
        <f t="shared" si="179"/>
        <v>0.18046672108996603</v>
      </c>
      <c r="BB56" s="39">
        <f t="shared" si="174"/>
        <v>0.18046672108996603</v>
      </c>
      <c r="BC56" s="30">
        <f t="shared" si="179"/>
        <v>0.19386794053920181</v>
      </c>
      <c r="BD56" s="39">
        <f t="shared" si="174"/>
        <v>0.19386794053920181</v>
      </c>
      <c r="BE56" s="30">
        <f t="shared" si="179"/>
        <v>0.2453959815705303</v>
      </c>
      <c r="BF56" s="39">
        <f t="shared" si="174"/>
        <v>0.2453959815705303</v>
      </c>
      <c r="BG56" s="30">
        <f t="shared" si="179"/>
        <v>0.26173034147296786</v>
      </c>
      <c r="BH56" s="39">
        <f t="shared" si="174"/>
        <v>0.26173034147296786</v>
      </c>
    </row>
    <row r="57" spans="2:60" x14ac:dyDescent="0.3">
      <c r="B57" s="34"/>
      <c r="C57" s="35" t="s">
        <v>37</v>
      </c>
      <c r="D57" s="36">
        <f t="shared" si="178"/>
        <v>-2.6</v>
      </c>
      <c r="E57" s="28">
        <v>0</v>
      </c>
      <c r="F57" s="38">
        <v>0</v>
      </c>
      <c r="G57" s="5">
        <f t="shared" si="114"/>
        <v>0</v>
      </c>
      <c r="H57" s="38">
        <f t="shared" si="175"/>
        <v>0</v>
      </c>
      <c r="I57" s="28">
        <f t="shared" si="2"/>
        <v>0</v>
      </c>
      <c r="J57" s="38">
        <f t="shared" si="176"/>
        <v>0</v>
      </c>
      <c r="K57" s="30">
        <f t="shared" si="121"/>
        <v>0</v>
      </c>
      <c r="L57" s="39">
        <f t="shared" si="177"/>
        <v>0</v>
      </c>
      <c r="M57" s="30">
        <f t="shared" si="179"/>
        <v>0</v>
      </c>
      <c r="N57" s="39">
        <f t="shared" si="177"/>
        <v>0</v>
      </c>
      <c r="O57" s="30">
        <f t="shared" si="179"/>
        <v>0</v>
      </c>
      <c r="P57" s="39">
        <f t="shared" si="177"/>
        <v>0</v>
      </c>
      <c r="Q57" s="30">
        <f t="shared" si="179"/>
        <v>0</v>
      </c>
      <c r="R57" s="39">
        <f t="shared" si="177"/>
        <v>0</v>
      </c>
      <c r="S57" s="30">
        <f t="shared" si="179"/>
        <v>0</v>
      </c>
      <c r="T57" s="39">
        <f t="shared" si="177"/>
        <v>0</v>
      </c>
      <c r="U57" s="30">
        <f t="shared" si="179"/>
        <v>0</v>
      </c>
      <c r="V57" s="39">
        <f t="shared" si="177"/>
        <v>0</v>
      </c>
      <c r="W57" s="30">
        <f t="shared" si="179"/>
        <v>0</v>
      </c>
      <c r="X57" s="39">
        <f t="shared" si="177"/>
        <v>0</v>
      </c>
      <c r="Y57" s="30">
        <f t="shared" si="179"/>
        <v>0</v>
      </c>
      <c r="Z57" s="39">
        <f t="shared" si="177"/>
        <v>0</v>
      </c>
      <c r="AA57" s="30">
        <f t="shared" si="179"/>
        <v>0</v>
      </c>
      <c r="AB57" s="39">
        <f t="shared" si="174"/>
        <v>0</v>
      </c>
      <c r="AC57" s="30">
        <f t="shared" si="179"/>
        <v>0</v>
      </c>
      <c r="AD57" s="39">
        <f t="shared" si="174"/>
        <v>0</v>
      </c>
      <c r="AE57" s="30">
        <f t="shared" si="179"/>
        <v>1.0001007216928252E-3</v>
      </c>
      <c r="AF57" s="39">
        <f t="shared" si="174"/>
        <v>1.0001007216928252E-3</v>
      </c>
      <c r="AG57" s="30">
        <f t="shared" si="179"/>
        <v>1.2223453265134529E-3</v>
      </c>
      <c r="AH57" s="39">
        <f t="shared" si="174"/>
        <v>1.2223453265134529E-3</v>
      </c>
      <c r="AI57" s="30">
        <f t="shared" si="179"/>
        <v>4.7171417373178251E-3</v>
      </c>
      <c r="AJ57" s="39">
        <f t="shared" si="174"/>
        <v>4.7171417373178251E-3</v>
      </c>
      <c r="AK57" s="30">
        <f t="shared" si="179"/>
        <v>5.5172223146720831E-3</v>
      </c>
      <c r="AL57" s="39">
        <f t="shared" si="174"/>
        <v>5.5172223146720831E-3</v>
      </c>
      <c r="AM57" s="30">
        <f t="shared" si="179"/>
        <v>1.2912411540078477E-2</v>
      </c>
      <c r="AN57" s="39">
        <f t="shared" si="174"/>
        <v>1.2912411540078477E-2</v>
      </c>
      <c r="AO57" s="30">
        <f t="shared" si="179"/>
        <v>1.47098147815653E-2</v>
      </c>
      <c r="AP57" s="39">
        <f t="shared" si="174"/>
        <v>1.47098147815653E-2</v>
      </c>
      <c r="AQ57" s="30">
        <f t="shared" si="179"/>
        <v>2.7073212696297821E-2</v>
      </c>
      <c r="AR57" s="39">
        <f t="shared" si="174"/>
        <v>2.7073212696297821E-2</v>
      </c>
      <c r="AS57" s="30">
        <f t="shared" si="179"/>
        <v>3.0250616030842732E-2</v>
      </c>
      <c r="AT57" s="39">
        <f t="shared" si="174"/>
        <v>3.0250616030842732E-2</v>
      </c>
      <c r="AU57" s="30">
        <f t="shared" si="179"/>
        <v>4.8251821321222271E-2</v>
      </c>
      <c r="AV57" s="39">
        <f t="shared" si="174"/>
        <v>4.8251821321222271E-2</v>
      </c>
      <c r="AW57" s="30">
        <f t="shared" si="179"/>
        <v>5.3113074794478472E-2</v>
      </c>
      <c r="AX57" s="39">
        <f t="shared" si="174"/>
        <v>5.3113074794478472E-2</v>
      </c>
      <c r="AY57" s="30">
        <f t="shared" si="179"/>
        <v>7.704298047206859E-2</v>
      </c>
      <c r="AZ57" s="39">
        <f t="shared" si="174"/>
        <v>7.704298047206859E-2</v>
      </c>
      <c r="BA57" s="30">
        <f t="shared" si="179"/>
        <v>8.3804859388034975E-2</v>
      </c>
      <c r="BB57" s="39">
        <f t="shared" si="174"/>
        <v>8.3804859388034975E-2</v>
      </c>
      <c r="BC57" s="30">
        <f t="shared" si="179"/>
        <v>0.11368282504145871</v>
      </c>
      <c r="BD57" s="39">
        <f t="shared" si="174"/>
        <v>0.11368282504145871</v>
      </c>
      <c r="BE57" s="30">
        <f t="shared" si="179"/>
        <v>0.12252534970039744</v>
      </c>
      <c r="BF57" s="39">
        <f t="shared" si="174"/>
        <v>0.12252534970039744</v>
      </c>
      <c r="BG57" s="30">
        <f t="shared" si="179"/>
        <v>0.15820348988466729</v>
      </c>
      <c r="BH57" s="39">
        <f t="shared" si="174"/>
        <v>0.15820348988466729</v>
      </c>
    </row>
    <row r="58" spans="2:60" x14ac:dyDescent="0.3">
      <c r="B58" s="34"/>
      <c r="C58" s="35" t="s">
        <v>37</v>
      </c>
      <c r="D58" s="36">
        <f t="shared" si="178"/>
        <v>-2.8000000000000003</v>
      </c>
      <c r="E58" s="28">
        <v>0</v>
      </c>
      <c r="F58" s="38">
        <v>0</v>
      </c>
      <c r="G58" s="5">
        <f t="shared" si="114"/>
        <v>0</v>
      </c>
      <c r="H58" s="38">
        <f t="shared" si="175"/>
        <v>0</v>
      </c>
      <c r="I58" s="28">
        <f t="shared" si="2"/>
        <v>0</v>
      </c>
      <c r="J58" s="38">
        <f t="shared" si="176"/>
        <v>0</v>
      </c>
      <c r="K58" s="30">
        <f t="shared" si="121"/>
        <v>0</v>
      </c>
      <c r="L58" s="39">
        <f t="shared" si="177"/>
        <v>0</v>
      </c>
      <c r="M58" s="30">
        <f t="shared" si="179"/>
        <v>0</v>
      </c>
      <c r="N58" s="39">
        <f t="shared" si="177"/>
        <v>0</v>
      </c>
      <c r="O58" s="30">
        <f t="shared" si="179"/>
        <v>0</v>
      </c>
      <c r="P58" s="39">
        <f t="shared" si="177"/>
        <v>0</v>
      </c>
      <c r="Q58" s="30">
        <f t="shared" si="179"/>
        <v>0</v>
      </c>
      <c r="R58" s="39">
        <f t="shared" si="177"/>
        <v>0</v>
      </c>
      <c r="S58" s="30">
        <f t="shared" si="179"/>
        <v>0</v>
      </c>
      <c r="T58" s="39">
        <f t="shared" si="177"/>
        <v>0</v>
      </c>
      <c r="U58" s="30">
        <f t="shared" si="179"/>
        <v>0</v>
      </c>
      <c r="V58" s="39">
        <f t="shared" si="177"/>
        <v>0</v>
      </c>
      <c r="W58" s="30">
        <f t="shared" si="179"/>
        <v>0</v>
      </c>
      <c r="X58" s="39">
        <f t="shared" si="177"/>
        <v>0</v>
      </c>
      <c r="Y58" s="30">
        <f t="shared" si="179"/>
        <v>0</v>
      </c>
      <c r="Z58" s="39">
        <f t="shared" si="177"/>
        <v>0</v>
      </c>
      <c r="AA58" s="30">
        <f t="shared" si="179"/>
        <v>0</v>
      </c>
      <c r="AB58" s="39">
        <f t="shared" si="174"/>
        <v>0</v>
      </c>
      <c r="AC58" s="30">
        <f t="shared" si="179"/>
        <v>0</v>
      </c>
      <c r="AD58" s="39">
        <f t="shared" si="174"/>
        <v>0</v>
      </c>
      <c r="AE58" s="30">
        <f t="shared" si="179"/>
        <v>0</v>
      </c>
      <c r="AF58" s="39">
        <f t="shared" si="174"/>
        <v>0</v>
      </c>
      <c r="AG58" s="30">
        <f t="shared" si="179"/>
        <v>5.0005036084641258E-4</v>
      </c>
      <c r="AH58" s="39">
        <f t="shared" si="174"/>
        <v>5.0005036084641258E-4</v>
      </c>
      <c r="AI58" s="30">
        <f t="shared" si="179"/>
        <v>6.1117266325672645E-4</v>
      </c>
      <c r="AJ58" s="39">
        <f t="shared" si="174"/>
        <v>6.1117266325672645E-4</v>
      </c>
      <c r="AK58" s="30">
        <f t="shared" si="179"/>
        <v>2.4835834588705155E-3</v>
      </c>
      <c r="AL58" s="39">
        <f t="shared" si="174"/>
        <v>2.4835834588705155E-3</v>
      </c>
      <c r="AM58" s="30">
        <f t="shared" si="179"/>
        <v>2.911404323150223E-3</v>
      </c>
      <c r="AN58" s="39">
        <f t="shared" si="174"/>
        <v>2.911404323150223E-3</v>
      </c>
      <c r="AO58" s="30">
        <f t="shared" si="179"/>
        <v>7.1083547823097681E-3</v>
      </c>
      <c r="AP58" s="39">
        <f t="shared" si="174"/>
        <v>7.1083547823097681E-3</v>
      </c>
      <c r="AQ58" s="30">
        <f t="shared" si="179"/>
        <v>8.1209567630237504E-3</v>
      </c>
      <c r="AR58" s="39">
        <f t="shared" si="174"/>
        <v>8.1209567630237504E-3</v>
      </c>
      <c r="AS58" s="30">
        <f t="shared" si="179"/>
        <v>1.5484545583682209E-2</v>
      </c>
      <c r="AT58" s="39">
        <f t="shared" si="174"/>
        <v>1.5484545583682209E-2</v>
      </c>
      <c r="AU58" s="30">
        <f t="shared" si="179"/>
        <v>1.7356609122100967E-2</v>
      </c>
      <c r="AV58" s="39">
        <f t="shared" si="174"/>
        <v>1.7356609122100967E-2</v>
      </c>
      <c r="AW58" s="30">
        <f t="shared" si="179"/>
        <v>2.8528697822126033E-2</v>
      </c>
      <c r="AX58" s="39">
        <f t="shared" si="174"/>
        <v>2.8528697822126033E-2</v>
      </c>
      <c r="AY58" s="30">
        <f t="shared" si="179"/>
        <v>3.150616782663114E-2</v>
      </c>
      <c r="AZ58" s="39">
        <f t="shared" si="174"/>
        <v>3.150616782663114E-2</v>
      </c>
      <c r="BA58" s="30">
        <f t="shared" si="179"/>
        <v>4.689892899295138E-2</v>
      </c>
      <c r="BB58" s="39">
        <f t="shared" si="174"/>
        <v>4.689892899295138E-2</v>
      </c>
      <c r="BC58" s="30">
        <f t="shared" si="179"/>
        <v>5.118275886159307E-2</v>
      </c>
      <c r="BD58" s="39">
        <f t="shared" si="174"/>
        <v>5.118275886159307E-2</v>
      </c>
      <c r="BE58" s="30">
        <f t="shared" si="179"/>
        <v>7.101099819880427E-2</v>
      </c>
      <c r="BF58" s="39">
        <f t="shared" si="174"/>
        <v>7.101099819880427E-2</v>
      </c>
      <c r="BG58" s="30">
        <f t="shared" si="179"/>
        <v>7.677457778977706E-2</v>
      </c>
      <c r="BH58" s="39">
        <f t="shared" si="174"/>
        <v>7.677457778977706E-2</v>
      </c>
    </row>
    <row r="59" spans="2:60" x14ac:dyDescent="0.3">
      <c r="B59" s="34"/>
      <c r="C59" s="35" t="s">
        <v>37</v>
      </c>
      <c r="D59" s="36">
        <f t="shared" si="178"/>
        <v>-3.0000000000000004</v>
      </c>
      <c r="E59" s="28">
        <v>0</v>
      </c>
      <c r="F59" s="38">
        <v>0</v>
      </c>
      <c r="G59" s="5">
        <f t="shared" si="114"/>
        <v>0</v>
      </c>
      <c r="H59" s="38">
        <f t="shared" si="175"/>
        <v>0</v>
      </c>
      <c r="I59" s="28">
        <f t="shared" si="2"/>
        <v>0</v>
      </c>
      <c r="J59" s="38">
        <f t="shared" si="176"/>
        <v>0</v>
      </c>
      <c r="K59" s="30">
        <f t="shared" si="121"/>
        <v>0</v>
      </c>
      <c r="L59" s="39">
        <f t="shared" si="177"/>
        <v>0</v>
      </c>
      <c r="M59" s="30">
        <f t="shared" si="179"/>
        <v>0</v>
      </c>
      <c r="N59" s="39">
        <f t="shared" si="177"/>
        <v>0</v>
      </c>
      <c r="O59" s="30">
        <f t="shared" si="179"/>
        <v>0</v>
      </c>
      <c r="P59" s="39">
        <f t="shared" si="177"/>
        <v>0</v>
      </c>
      <c r="Q59" s="30">
        <f t="shared" si="179"/>
        <v>0</v>
      </c>
      <c r="R59" s="39">
        <f t="shared" si="177"/>
        <v>0</v>
      </c>
      <c r="S59" s="30">
        <f t="shared" si="179"/>
        <v>0</v>
      </c>
      <c r="T59" s="39">
        <f t="shared" si="177"/>
        <v>0</v>
      </c>
      <c r="U59" s="30">
        <f t="shared" si="179"/>
        <v>0</v>
      </c>
      <c r="V59" s="39">
        <f t="shared" si="177"/>
        <v>0</v>
      </c>
      <c r="W59" s="30">
        <f t="shared" si="179"/>
        <v>0</v>
      </c>
      <c r="X59" s="39">
        <f t="shared" si="177"/>
        <v>0</v>
      </c>
      <c r="Y59" s="30">
        <f t="shared" si="179"/>
        <v>0</v>
      </c>
      <c r="Z59" s="39">
        <f t="shared" si="177"/>
        <v>0</v>
      </c>
      <c r="AA59" s="30">
        <f t="shared" si="179"/>
        <v>0</v>
      </c>
      <c r="AB59" s="39">
        <f t="shared" si="174"/>
        <v>0</v>
      </c>
      <c r="AC59" s="30">
        <f t="shared" si="179"/>
        <v>0</v>
      </c>
      <c r="AD59" s="39">
        <f t="shared" si="174"/>
        <v>0</v>
      </c>
      <c r="AE59" s="30">
        <f t="shared" si="179"/>
        <v>0</v>
      </c>
      <c r="AF59" s="39">
        <f t="shared" si="174"/>
        <v>0</v>
      </c>
      <c r="AG59" s="30">
        <f t="shared" si="179"/>
        <v>0</v>
      </c>
      <c r="AH59" s="39">
        <f t="shared" si="174"/>
        <v>0</v>
      </c>
      <c r="AI59" s="30">
        <f t="shared" si="179"/>
        <v>2.5002518042320629E-4</v>
      </c>
      <c r="AJ59" s="39">
        <f t="shared" si="174"/>
        <v>2.5002518042320629E-4</v>
      </c>
      <c r="AK59" s="30">
        <f t="shared" si="179"/>
        <v>3.0558633162836322E-4</v>
      </c>
      <c r="AL59" s="39">
        <f t="shared" si="174"/>
        <v>3.0558633162836322E-4</v>
      </c>
      <c r="AM59" s="30">
        <f t="shared" si="179"/>
        <v>1.3042980245410592E-3</v>
      </c>
      <c r="AN59" s="39">
        <f t="shared" si="174"/>
        <v>1.3042980245410592E-3</v>
      </c>
      <c r="AO59" s="30">
        <f t="shared" si="179"/>
        <v>1.5320987444822022E-3</v>
      </c>
      <c r="AP59" s="39">
        <f t="shared" si="174"/>
        <v>1.5320987444822022E-3</v>
      </c>
      <c r="AQ59" s="30">
        <f t="shared" si="179"/>
        <v>3.8958784710665991E-3</v>
      </c>
      <c r="AR59" s="39">
        <f t="shared" si="174"/>
        <v>3.8958784710665991E-3</v>
      </c>
      <c r="AS59" s="30">
        <f t="shared" si="179"/>
        <v>4.4626022133591988E-3</v>
      </c>
      <c r="AT59" s="39">
        <f t="shared" si="174"/>
        <v>4.4626022133591988E-3</v>
      </c>
      <c r="AU59" s="30">
        <f t="shared" si="179"/>
        <v>8.8055743230297957E-3</v>
      </c>
      <c r="AV59" s="39">
        <f t="shared" si="174"/>
        <v>8.8055743230297957E-3</v>
      </c>
      <c r="AW59" s="30">
        <f t="shared" si="179"/>
        <v>9.899260858783808E-3</v>
      </c>
      <c r="AX59" s="39">
        <f t="shared" si="174"/>
        <v>9.899260858783808E-3</v>
      </c>
      <c r="AY59" s="30">
        <f t="shared" si="179"/>
        <v>1.6754877513834178E-2</v>
      </c>
      <c r="AZ59" s="39">
        <f t="shared" si="174"/>
        <v>1.6754877513834178E-2</v>
      </c>
      <c r="BA59" s="30">
        <f t="shared" si="179"/>
        <v>1.8560658335151158E-2</v>
      </c>
      <c r="BB59" s="39">
        <f t="shared" si="174"/>
        <v>1.8560658335151158E-2</v>
      </c>
      <c r="BC59" s="30">
        <f t="shared" si="179"/>
        <v>2.8339171356149842E-2</v>
      </c>
      <c r="BD59" s="39">
        <f t="shared" si="174"/>
        <v>2.8339171356149842E-2</v>
      </c>
      <c r="BE59" s="30">
        <f t="shared" si="179"/>
        <v>3.1023805879156686E-2</v>
      </c>
      <c r="BF59" s="39">
        <f t="shared" si="174"/>
        <v>3.1023805879156686E-2</v>
      </c>
      <c r="BG59" s="30">
        <f t="shared" si="179"/>
        <v>4.4009133291351407E-2</v>
      </c>
      <c r="BH59" s="39">
        <f t="shared" si="174"/>
        <v>4.4009133291351407E-2</v>
      </c>
    </row>
    <row r="60" spans="2:60" x14ac:dyDescent="0.3">
      <c r="B60" s="34"/>
      <c r="C60" s="35" t="s">
        <v>37</v>
      </c>
      <c r="D60" s="36">
        <f t="shared" si="178"/>
        <v>-3.2000000000000006</v>
      </c>
      <c r="E60" s="28">
        <v>0</v>
      </c>
      <c r="F60" s="38">
        <v>0</v>
      </c>
      <c r="G60" s="5">
        <f t="shared" si="114"/>
        <v>0</v>
      </c>
      <c r="H60" s="38">
        <f t="shared" si="175"/>
        <v>0</v>
      </c>
      <c r="I60" s="28">
        <f t="shared" si="2"/>
        <v>0</v>
      </c>
      <c r="J60" s="38">
        <f t="shared" si="176"/>
        <v>0</v>
      </c>
      <c r="K60" s="30">
        <f t="shared" si="121"/>
        <v>0</v>
      </c>
      <c r="L60" s="39">
        <f t="shared" si="177"/>
        <v>0</v>
      </c>
      <c r="M60" s="30">
        <f t="shared" si="179"/>
        <v>0</v>
      </c>
      <c r="N60" s="39">
        <f t="shared" si="177"/>
        <v>0</v>
      </c>
      <c r="O60" s="30">
        <f t="shared" si="179"/>
        <v>0</v>
      </c>
      <c r="P60" s="39">
        <f t="shared" si="177"/>
        <v>0</v>
      </c>
      <c r="Q60" s="30">
        <f t="shared" si="179"/>
        <v>0</v>
      </c>
      <c r="R60" s="39">
        <f t="shared" si="177"/>
        <v>0</v>
      </c>
      <c r="S60" s="30">
        <f t="shared" si="179"/>
        <v>0</v>
      </c>
      <c r="T60" s="39">
        <f t="shared" si="177"/>
        <v>0</v>
      </c>
      <c r="U60" s="30">
        <f t="shared" si="179"/>
        <v>0</v>
      </c>
      <c r="V60" s="39">
        <f t="shared" si="177"/>
        <v>0</v>
      </c>
      <c r="W60" s="30">
        <f t="shared" si="179"/>
        <v>0</v>
      </c>
      <c r="X60" s="39">
        <f t="shared" si="177"/>
        <v>0</v>
      </c>
      <c r="Y60" s="30">
        <f t="shared" si="179"/>
        <v>0</v>
      </c>
      <c r="Z60" s="39">
        <f t="shared" si="177"/>
        <v>0</v>
      </c>
      <c r="AA60" s="30">
        <f t="shared" si="179"/>
        <v>0</v>
      </c>
      <c r="AB60" s="39">
        <f t="shared" si="174"/>
        <v>0</v>
      </c>
      <c r="AC60" s="30">
        <f t="shared" si="179"/>
        <v>0</v>
      </c>
      <c r="AD60" s="39">
        <f t="shared" si="174"/>
        <v>0</v>
      </c>
      <c r="AE60" s="30">
        <f t="shared" si="179"/>
        <v>0</v>
      </c>
      <c r="AF60" s="39">
        <f t="shared" si="174"/>
        <v>0</v>
      </c>
      <c r="AG60" s="30">
        <f t="shared" si="179"/>
        <v>0</v>
      </c>
      <c r="AH60" s="39">
        <f t="shared" si="174"/>
        <v>0</v>
      </c>
      <c r="AI60" s="30">
        <f t="shared" si="179"/>
        <v>0</v>
      </c>
      <c r="AJ60" s="39">
        <f t="shared" si="174"/>
        <v>0</v>
      </c>
      <c r="AK60" s="30">
        <f t="shared" si="179"/>
        <v>1.2501259021160314E-4</v>
      </c>
      <c r="AL60" s="39">
        <f t="shared" si="174"/>
        <v>1.2501259021160314E-4</v>
      </c>
      <c r="AM60" s="30">
        <f t="shared" si="179"/>
        <v>1.5279316581418161E-4</v>
      </c>
      <c r="AN60" s="39">
        <f t="shared" si="174"/>
        <v>1.5279316581418161E-4</v>
      </c>
      <c r="AO60" s="30">
        <f t="shared" si="179"/>
        <v>6.8340215982343037E-4</v>
      </c>
      <c r="AP60" s="39">
        <f t="shared" si="174"/>
        <v>6.8340215982343037E-4</v>
      </c>
      <c r="AQ60" s="30">
        <f t="shared" si="179"/>
        <v>8.0424766369464645E-4</v>
      </c>
      <c r="AR60" s="39">
        <f t="shared" si="174"/>
        <v>8.0424766369464645E-4</v>
      </c>
      <c r="AS60" s="30">
        <f t="shared" si="179"/>
        <v>2.1266030623773823E-3</v>
      </c>
      <c r="AT60" s="39">
        <f t="shared" si="174"/>
        <v>2.1266030623773823E-3</v>
      </c>
      <c r="AU60" s="30">
        <f t="shared" si="179"/>
        <v>2.4419125954666474E-3</v>
      </c>
      <c r="AV60" s="39">
        <f t="shared" si="174"/>
        <v>2.4419125954666474E-3</v>
      </c>
      <c r="AW60" s="30">
        <f t="shared" si="179"/>
        <v>4.9810572055423207E-3</v>
      </c>
      <c r="AX60" s="39">
        <f t="shared" si="174"/>
        <v>4.9810572055423207E-3</v>
      </c>
      <c r="AY60" s="30">
        <f t="shared" si="179"/>
        <v>5.6151488436711741E-3</v>
      </c>
      <c r="AZ60" s="39">
        <f t="shared" si="174"/>
        <v>5.6151488436711741E-3</v>
      </c>
      <c r="BA60" s="30">
        <f t="shared" si="179"/>
        <v>9.7794137193483073E-3</v>
      </c>
      <c r="BB60" s="39">
        <f t="shared" si="174"/>
        <v>9.7794137193483073E-3</v>
      </c>
      <c r="BC60" s="30">
        <f t="shared" si="179"/>
        <v>1.0864852896720303E-2</v>
      </c>
      <c r="BD60" s="39">
        <f t="shared" si="174"/>
        <v>1.0864852896720303E-2</v>
      </c>
      <c r="BE60" s="30">
        <f t="shared" si="179"/>
        <v>1.7007268383898537E-2</v>
      </c>
      <c r="BF60" s="39">
        <f t="shared" si="174"/>
        <v>1.7007268383898537E-2</v>
      </c>
      <c r="BG60" s="30">
        <f t="shared" si="179"/>
        <v>1.8673169666341603E-2</v>
      </c>
      <c r="BH60" s="39">
        <f t="shared" si="174"/>
        <v>1.8673169666341603E-2</v>
      </c>
    </row>
    <row r="61" spans="2:60" x14ac:dyDescent="0.3">
      <c r="B61" s="34"/>
      <c r="C61" s="35" t="s">
        <v>37</v>
      </c>
      <c r="D61" s="36">
        <f t="shared" si="178"/>
        <v>-3.4000000000000008</v>
      </c>
      <c r="E61" s="28">
        <v>0</v>
      </c>
      <c r="F61" s="38">
        <v>0</v>
      </c>
      <c r="G61" s="5">
        <f t="shared" si="114"/>
        <v>0</v>
      </c>
      <c r="H61" s="38">
        <f t="shared" si="175"/>
        <v>0</v>
      </c>
      <c r="I61" s="28">
        <f t="shared" si="2"/>
        <v>0</v>
      </c>
      <c r="J61" s="38">
        <f t="shared" si="176"/>
        <v>0</v>
      </c>
      <c r="K61" s="30">
        <f t="shared" si="121"/>
        <v>0</v>
      </c>
      <c r="L61" s="39">
        <f t="shared" si="177"/>
        <v>0</v>
      </c>
      <c r="M61" s="30">
        <f t="shared" si="179"/>
        <v>0</v>
      </c>
      <c r="N61" s="39">
        <f t="shared" si="177"/>
        <v>0</v>
      </c>
      <c r="O61" s="30">
        <f t="shared" si="179"/>
        <v>0</v>
      </c>
      <c r="P61" s="39">
        <f t="shared" si="177"/>
        <v>0</v>
      </c>
      <c r="Q61" s="30">
        <f t="shared" si="179"/>
        <v>0</v>
      </c>
      <c r="R61" s="39">
        <f t="shared" si="177"/>
        <v>0</v>
      </c>
      <c r="S61" s="30">
        <f t="shared" si="179"/>
        <v>0</v>
      </c>
      <c r="T61" s="39">
        <f t="shared" si="177"/>
        <v>0</v>
      </c>
      <c r="U61" s="30">
        <f t="shared" si="179"/>
        <v>0</v>
      </c>
      <c r="V61" s="39">
        <f t="shared" si="177"/>
        <v>0</v>
      </c>
      <c r="W61" s="30">
        <f t="shared" si="179"/>
        <v>0</v>
      </c>
      <c r="X61" s="39">
        <f t="shared" si="177"/>
        <v>0</v>
      </c>
      <c r="Y61" s="30">
        <f t="shared" si="179"/>
        <v>0</v>
      </c>
      <c r="Z61" s="39">
        <f t="shared" si="177"/>
        <v>0</v>
      </c>
      <c r="AA61" s="30">
        <f t="shared" si="179"/>
        <v>0</v>
      </c>
      <c r="AB61" s="39">
        <f t="shared" ref="AB61:AP71" si="180">AA61</f>
        <v>0</v>
      </c>
      <c r="AC61" s="30">
        <f t="shared" si="179"/>
        <v>0</v>
      </c>
      <c r="AD61" s="39">
        <f t="shared" si="180"/>
        <v>0</v>
      </c>
      <c r="AE61" s="30">
        <f t="shared" si="179"/>
        <v>0</v>
      </c>
      <c r="AF61" s="39">
        <f t="shared" si="180"/>
        <v>0</v>
      </c>
      <c r="AG61" s="30">
        <f t="shared" si="179"/>
        <v>0</v>
      </c>
      <c r="AH61" s="39">
        <f t="shared" si="180"/>
        <v>0</v>
      </c>
      <c r="AI61" s="30">
        <f t="shared" si="179"/>
        <v>0</v>
      </c>
      <c r="AJ61" s="39">
        <f t="shared" si="180"/>
        <v>0</v>
      </c>
      <c r="AK61" s="30">
        <f t="shared" si="179"/>
        <v>0</v>
      </c>
      <c r="AL61" s="39">
        <f t="shared" si="180"/>
        <v>0</v>
      </c>
      <c r="AM61" s="30">
        <f t="shared" si="179"/>
        <v>6.2506295105801572E-5</v>
      </c>
      <c r="AN61" s="39">
        <f t="shared" si="180"/>
        <v>6.2506295105801572E-5</v>
      </c>
      <c r="AO61" s="30">
        <f t="shared" si="179"/>
        <v>7.6396582907090806E-5</v>
      </c>
      <c r="AP61" s="39">
        <f t="shared" si="180"/>
        <v>7.6396582907090806E-5</v>
      </c>
      <c r="AQ61" s="30">
        <f t="shared" si="179"/>
        <v>3.5732765368816556E-4</v>
      </c>
      <c r="AR61" s="39">
        <f t="shared" ref="AR61:BF71" si="181">AQ61</f>
        <v>3.5732765368816556E-4</v>
      </c>
      <c r="AS61" s="30">
        <f t="shared" si="179"/>
        <v>4.2122297757409591E-4</v>
      </c>
      <c r="AT61" s="39">
        <f t="shared" si="181"/>
        <v>4.2122297757409591E-4</v>
      </c>
      <c r="AU61" s="30">
        <f t="shared" si="179"/>
        <v>1.1565400880548451E-3</v>
      </c>
      <c r="AV61" s="39">
        <f t="shared" si="181"/>
        <v>1.1565400880548451E-3</v>
      </c>
      <c r="AW61" s="30">
        <f t="shared" si="179"/>
        <v>1.3310368285585409E-3</v>
      </c>
      <c r="AX61" s="39">
        <f t="shared" si="181"/>
        <v>1.3310368285585409E-3</v>
      </c>
      <c r="AY61" s="30">
        <f t="shared" si="179"/>
        <v>2.8039499248624384E-3</v>
      </c>
      <c r="AZ61" s="39">
        <f t="shared" si="181"/>
        <v>2.8039499248624384E-3</v>
      </c>
      <c r="BA61" s="30">
        <f t="shared" si="179"/>
        <v>3.1690474582894497E-3</v>
      </c>
      <c r="BB61" s="39">
        <f t="shared" si="181"/>
        <v>3.1690474582894497E-3</v>
      </c>
      <c r="BC61" s="30">
        <f t="shared" si="179"/>
        <v>5.6753654116472319E-3</v>
      </c>
      <c r="BD61" s="39">
        <f t="shared" si="181"/>
        <v>5.6753654116472319E-3</v>
      </c>
      <c r="BE61" s="30">
        <f t="shared" si="179"/>
        <v>6.3225334535265175E-3</v>
      </c>
      <c r="BF61" s="39">
        <f t="shared" si="181"/>
        <v>6.3225334535265175E-3</v>
      </c>
      <c r="BG61" s="30">
        <f t="shared" si="179"/>
        <v>1.0141697926906189E-2</v>
      </c>
      <c r="BH61" s="39">
        <f t="shared" ref="N61:BH72" si="182">BG61</f>
        <v>1.0141697926906189E-2</v>
      </c>
    </row>
    <row r="62" spans="2:60" x14ac:dyDescent="0.3">
      <c r="B62" s="34"/>
      <c r="C62" s="35" t="s">
        <v>37</v>
      </c>
      <c r="D62" s="36">
        <f t="shared" si="178"/>
        <v>-3.600000000000001</v>
      </c>
      <c r="E62" s="28">
        <v>0</v>
      </c>
      <c r="F62" s="38">
        <v>0</v>
      </c>
      <c r="G62" s="5">
        <f t="shared" si="114"/>
        <v>0</v>
      </c>
      <c r="H62" s="38">
        <f t="shared" si="175"/>
        <v>0</v>
      </c>
      <c r="I62" s="28">
        <f t="shared" si="2"/>
        <v>0</v>
      </c>
      <c r="J62" s="38">
        <f t="shared" si="176"/>
        <v>0</v>
      </c>
      <c r="K62" s="30">
        <f t="shared" si="121"/>
        <v>0</v>
      </c>
      <c r="L62" s="39">
        <f t="shared" ref="L62:L84" si="183">K62</f>
        <v>0</v>
      </c>
      <c r="M62" s="30">
        <f t="shared" si="179"/>
        <v>0</v>
      </c>
      <c r="N62" s="39">
        <f t="shared" si="182"/>
        <v>0</v>
      </c>
      <c r="O62" s="30">
        <f t="shared" si="179"/>
        <v>0</v>
      </c>
      <c r="P62" s="39">
        <f t="shared" si="182"/>
        <v>0</v>
      </c>
      <c r="Q62" s="30">
        <f t="shared" si="179"/>
        <v>0</v>
      </c>
      <c r="R62" s="39">
        <f t="shared" si="182"/>
        <v>0</v>
      </c>
      <c r="S62" s="30">
        <f t="shared" si="179"/>
        <v>0</v>
      </c>
      <c r="T62" s="39">
        <f t="shared" si="182"/>
        <v>0</v>
      </c>
      <c r="U62" s="30">
        <f t="shared" si="179"/>
        <v>0</v>
      </c>
      <c r="V62" s="39">
        <f t="shared" si="182"/>
        <v>0</v>
      </c>
      <c r="W62" s="30">
        <f t="shared" si="179"/>
        <v>0</v>
      </c>
      <c r="X62" s="39">
        <f t="shared" si="182"/>
        <v>0</v>
      </c>
      <c r="Y62" s="30">
        <f t="shared" si="179"/>
        <v>0</v>
      </c>
      <c r="Z62" s="39">
        <f t="shared" si="182"/>
        <v>0</v>
      </c>
      <c r="AA62" s="30">
        <f t="shared" si="179"/>
        <v>0</v>
      </c>
      <c r="AB62" s="39">
        <f t="shared" si="182"/>
        <v>0</v>
      </c>
      <c r="AC62" s="30">
        <f t="shared" si="179"/>
        <v>0</v>
      </c>
      <c r="AD62" s="39">
        <f t="shared" si="182"/>
        <v>0</v>
      </c>
      <c r="AE62" s="30">
        <f t="shared" si="179"/>
        <v>0</v>
      </c>
      <c r="AF62" s="39">
        <f t="shared" si="182"/>
        <v>0</v>
      </c>
      <c r="AG62" s="30">
        <f t="shared" si="179"/>
        <v>0</v>
      </c>
      <c r="AH62" s="39">
        <f t="shared" si="182"/>
        <v>0</v>
      </c>
      <c r="AI62" s="30">
        <f t="shared" si="179"/>
        <v>0</v>
      </c>
      <c r="AJ62" s="39">
        <f t="shared" si="182"/>
        <v>0</v>
      </c>
      <c r="AK62" s="30">
        <f t="shared" si="179"/>
        <v>0</v>
      </c>
      <c r="AL62" s="39">
        <f t="shared" si="182"/>
        <v>0</v>
      </c>
      <c r="AM62" s="30">
        <f t="shared" si="179"/>
        <v>0</v>
      </c>
      <c r="AN62" s="39">
        <f t="shared" si="182"/>
        <v>0</v>
      </c>
      <c r="AO62" s="30">
        <f t="shared" si="179"/>
        <v>3.1253147552900786E-5</v>
      </c>
      <c r="AP62" s="39">
        <f t="shared" si="182"/>
        <v>3.1253147552900786E-5</v>
      </c>
      <c r="AQ62" s="30">
        <f t="shared" si="179"/>
        <v>3.8198291453545403E-5</v>
      </c>
      <c r="AR62" s="39">
        <f t="shared" si="182"/>
        <v>3.8198291453545403E-5</v>
      </c>
      <c r="AS62" s="30">
        <f t="shared" si="179"/>
        <v>1.8647711373230797E-4</v>
      </c>
      <c r="AT62" s="39">
        <f t="shared" si="182"/>
        <v>1.8647711373230797E-4</v>
      </c>
      <c r="AU62" s="30">
        <f t="shared" si="179"/>
        <v>2.2016106165043429E-4</v>
      </c>
      <c r="AV62" s="39">
        <f t="shared" si="182"/>
        <v>2.2016106165043429E-4</v>
      </c>
      <c r="AW62" s="30">
        <f t="shared" si="179"/>
        <v>6.2684264418255578E-4</v>
      </c>
      <c r="AX62" s="39">
        <f t="shared" si="182"/>
        <v>6.2684264418255578E-4</v>
      </c>
      <c r="AY62" s="30">
        <f t="shared" si="179"/>
        <v>7.2294607290772557E-4</v>
      </c>
      <c r="AZ62" s="39">
        <f t="shared" si="182"/>
        <v>7.2294607290772557E-4</v>
      </c>
      <c r="BA62" s="30">
        <f t="shared" si="179"/>
        <v>1.5713171039461555E-3</v>
      </c>
      <c r="BB62" s="39">
        <f t="shared" si="182"/>
        <v>1.5713171039461555E-3</v>
      </c>
      <c r="BC62" s="30">
        <f t="shared" si="179"/>
        <v>1.7802140103327316E-3</v>
      </c>
      <c r="BD62" s="39">
        <f t="shared" si="182"/>
        <v>1.7802140103327316E-3</v>
      </c>
      <c r="BE62" s="30">
        <f t="shared" si="179"/>
        <v>3.2761274699138416E-3</v>
      </c>
      <c r="BF62" s="39">
        <f t="shared" si="182"/>
        <v>3.2761274699138416E-3</v>
      </c>
      <c r="BG62" s="30">
        <f t="shared" si="179"/>
        <v>3.6591304524597025E-3</v>
      </c>
      <c r="BH62" s="39">
        <f t="shared" si="182"/>
        <v>3.6591304524597025E-3</v>
      </c>
    </row>
    <row r="63" spans="2:60" x14ac:dyDescent="0.3">
      <c r="B63" s="34"/>
      <c r="C63" s="35" t="s">
        <v>37</v>
      </c>
      <c r="D63" s="36">
        <f t="shared" si="178"/>
        <v>-3.8000000000000012</v>
      </c>
      <c r="E63" s="28">
        <v>0</v>
      </c>
      <c r="F63" s="38">
        <v>0</v>
      </c>
      <c r="G63" s="5">
        <f t="shared" si="114"/>
        <v>0</v>
      </c>
      <c r="H63" s="38">
        <f t="shared" si="175"/>
        <v>0</v>
      </c>
      <c r="I63" s="28">
        <f t="shared" si="2"/>
        <v>0</v>
      </c>
      <c r="J63" s="38">
        <f t="shared" si="176"/>
        <v>0</v>
      </c>
      <c r="K63" s="30">
        <f t="shared" si="121"/>
        <v>0</v>
      </c>
      <c r="L63" s="39">
        <f t="shared" si="183"/>
        <v>0</v>
      </c>
      <c r="M63" s="30">
        <f t="shared" si="179"/>
        <v>0</v>
      </c>
      <c r="N63" s="39">
        <f t="shared" si="182"/>
        <v>0</v>
      </c>
      <c r="O63" s="30">
        <f t="shared" si="179"/>
        <v>0</v>
      </c>
      <c r="P63" s="39">
        <f t="shared" si="182"/>
        <v>0</v>
      </c>
      <c r="Q63" s="30">
        <f t="shared" si="179"/>
        <v>0</v>
      </c>
      <c r="R63" s="39">
        <f t="shared" si="182"/>
        <v>0</v>
      </c>
      <c r="S63" s="30">
        <f t="shared" si="179"/>
        <v>0</v>
      </c>
      <c r="T63" s="39">
        <f t="shared" si="182"/>
        <v>0</v>
      </c>
      <c r="U63" s="30">
        <f t="shared" si="179"/>
        <v>0</v>
      </c>
      <c r="V63" s="39">
        <f t="shared" si="182"/>
        <v>0</v>
      </c>
      <c r="W63" s="30">
        <f t="shared" si="179"/>
        <v>0</v>
      </c>
      <c r="X63" s="39">
        <f t="shared" si="182"/>
        <v>0</v>
      </c>
      <c r="Y63" s="30">
        <f t="shared" si="179"/>
        <v>0</v>
      </c>
      <c r="Z63" s="39">
        <f t="shared" si="182"/>
        <v>0</v>
      </c>
      <c r="AA63" s="30">
        <f t="shared" si="179"/>
        <v>0</v>
      </c>
      <c r="AB63" s="39">
        <f t="shared" si="182"/>
        <v>0</v>
      </c>
      <c r="AC63" s="30">
        <f t="shared" si="179"/>
        <v>0</v>
      </c>
      <c r="AD63" s="39">
        <f t="shared" si="182"/>
        <v>0</v>
      </c>
      <c r="AE63" s="30">
        <f t="shared" si="179"/>
        <v>0</v>
      </c>
      <c r="AF63" s="39">
        <f t="shared" si="182"/>
        <v>0</v>
      </c>
      <c r="AG63" s="30">
        <f t="shared" si="179"/>
        <v>0</v>
      </c>
      <c r="AH63" s="39">
        <f t="shared" si="182"/>
        <v>0</v>
      </c>
      <c r="AI63" s="30">
        <f t="shared" si="179"/>
        <v>0</v>
      </c>
      <c r="AJ63" s="39">
        <f t="shared" si="182"/>
        <v>0</v>
      </c>
      <c r="AK63" s="30">
        <f t="shared" si="179"/>
        <v>0</v>
      </c>
      <c r="AL63" s="39">
        <f t="shared" si="182"/>
        <v>0</v>
      </c>
      <c r="AM63" s="30">
        <f t="shared" si="179"/>
        <v>0</v>
      </c>
      <c r="AN63" s="39">
        <f t="shared" si="182"/>
        <v>0</v>
      </c>
      <c r="AO63" s="30">
        <f t="shared" si="179"/>
        <v>0</v>
      </c>
      <c r="AP63" s="39">
        <f t="shared" si="182"/>
        <v>0</v>
      </c>
      <c r="AQ63" s="30">
        <f t="shared" si="179"/>
        <v>1.5626573776450393E-5</v>
      </c>
      <c r="AR63" s="39">
        <f t="shared" si="182"/>
        <v>1.5626573776450393E-5</v>
      </c>
      <c r="AS63" s="30">
        <f t="shared" si="179"/>
        <v>1.9099145726772701E-5</v>
      </c>
      <c r="AT63" s="39">
        <f t="shared" si="182"/>
        <v>1.9099145726772701E-5</v>
      </c>
      <c r="AU63" s="30">
        <f t="shared" si="179"/>
        <v>9.7145200310266576E-5</v>
      </c>
      <c r="AV63" s="39">
        <f t="shared" si="182"/>
        <v>9.7145200310266576E-5</v>
      </c>
      <c r="AW63" s="30">
        <f t="shared" si="179"/>
        <v>1.1485531725691032E-4</v>
      </c>
      <c r="AX63" s="39">
        <f t="shared" si="182"/>
        <v>1.1485531725691032E-4</v>
      </c>
      <c r="AY63" s="30">
        <f t="shared" si="179"/>
        <v>3.3868428302987266E-4</v>
      </c>
      <c r="AZ63" s="39">
        <f t="shared" si="182"/>
        <v>3.3868428302987266E-4</v>
      </c>
      <c r="BA63" s="30">
        <f t="shared" si="179"/>
        <v>3.9138056237601363E-4</v>
      </c>
      <c r="BB63" s="39">
        <f t="shared" si="182"/>
        <v>3.9138056237601363E-4</v>
      </c>
      <c r="BC63" s="30">
        <f t="shared" si="179"/>
        <v>8.7688952818045169E-4</v>
      </c>
      <c r="BD63" s="39">
        <f t="shared" si="182"/>
        <v>8.7688952818045169E-4</v>
      </c>
      <c r="BE63" s="30">
        <f t="shared" si="179"/>
        <v>9.9572745139288777E-4</v>
      </c>
      <c r="BF63" s="39">
        <f t="shared" si="182"/>
        <v>9.9572745139288777E-4</v>
      </c>
      <c r="BG63" s="30">
        <f t="shared" si="179"/>
        <v>1.8817948787201678E-3</v>
      </c>
      <c r="BH63" s="39">
        <f t="shared" si="182"/>
        <v>1.8817948787201678E-3</v>
      </c>
    </row>
    <row r="64" spans="2:60" x14ac:dyDescent="0.3">
      <c r="B64" s="34"/>
      <c r="C64" s="35" t="s">
        <v>37</v>
      </c>
      <c r="D64" s="36">
        <f t="shared" si="178"/>
        <v>-4.0000000000000009</v>
      </c>
      <c r="E64" s="28">
        <v>0</v>
      </c>
      <c r="F64" s="38">
        <v>0</v>
      </c>
      <c r="G64" s="5">
        <f t="shared" si="114"/>
        <v>0</v>
      </c>
      <c r="H64" s="38">
        <f t="shared" si="175"/>
        <v>0</v>
      </c>
      <c r="I64" s="28">
        <f t="shared" si="2"/>
        <v>0</v>
      </c>
      <c r="J64" s="38">
        <f t="shared" si="176"/>
        <v>0</v>
      </c>
      <c r="K64" s="30">
        <f t="shared" si="121"/>
        <v>0</v>
      </c>
      <c r="L64" s="39">
        <f t="shared" si="183"/>
        <v>0</v>
      </c>
      <c r="M64" s="30">
        <f t="shared" si="179"/>
        <v>0</v>
      </c>
      <c r="N64" s="39">
        <f t="shared" si="182"/>
        <v>0</v>
      </c>
      <c r="O64" s="30">
        <f t="shared" si="179"/>
        <v>0</v>
      </c>
      <c r="P64" s="39">
        <f t="shared" si="182"/>
        <v>0</v>
      </c>
      <c r="Q64" s="30">
        <f t="shared" si="179"/>
        <v>0</v>
      </c>
      <c r="R64" s="39">
        <f t="shared" si="182"/>
        <v>0</v>
      </c>
      <c r="S64" s="30">
        <f t="shared" si="179"/>
        <v>0</v>
      </c>
      <c r="T64" s="39">
        <f t="shared" si="182"/>
        <v>0</v>
      </c>
      <c r="U64" s="30">
        <f t="shared" si="179"/>
        <v>0</v>
      </c>
      <c r="V64" s="39">
        <f t="shared" si="182"/>
        <v>0</v>
      </c>
      <c r="W64" s="30">
        <f t="shared" si="179"/>
        <v>0</v>
      </c>
      <c r="X64" s="39">
        <f t="shared" si="182"/>
        <v>0</v>
      </c>
      <c r="Y64" s="30">
        <f t="shared" si="179"/>
        <v>0</v>
      </c>
      <c r="Z64" s="39">
        <f t="shared" si="182"/>
        <v>0</v>
      </c>
      <c r="AA64" s="30">
        <f t="shared" si="179"/>
        <v>0</v>
      </c>
      <c r="AB64" s="39">
        <f t="shared" si="182"/>
        <v>0</v>
      </c>
      <c r="AC64" s="30">
        <f t="shared" si="179"/>
        <v>0</v>
      </c>
      <c r="AD64" s="39">
        <f t="shared" si="182"/>
        <v>0</v>
      </c>
      <c r="AE64" s="30">
        <f t="shared" si="179"/>
        <v>0</v>
      </c>
      <c r="AF64" s="39">
        <f t="shared" si="182"/>
        <v>0</v>
      </c>
      <c r="AG64" s="30">
        <f t="shared" si="179"/>
        <v>0</v>
      </c>
      <c r="AH64" s="39">
        <f t="shared" si="182"/>
        <v>0</v>
      </c>
      <c r="AI64" s="30">
        <f t="shared" si="179"/>
        <v>0</v>
      </c>
      <c r="AJ64" s="39">
        <f t="shared" si="182"/>
        <v>0</v>
      </c>
      <c r="AK64" s="30">
        <f t="shared" si="179"/>
        <v>0</v>
      </c>
      <c r="AL64" s="39">
        <f t="shared" si="182"/>
        <v>0</v>
      </c>
      <c r="AM64" s="30">
        <f t="shared" si="179"/>
        <v>0</v>
      </c>
      <c r="AN64" s="39">
        <f t="shared" si="182"/>
        <v>0</v>
      </c>
      <c r="AO64" s="30">
        <f t="shared" ref="AO64:BC79" si="184">(AN65+AN63)/2</f>
        <v>0</v>
      </c>
      <c r="AP64" s="39">
        <f t="shared" si="182"/>
        <v>0</v>
      </c>
      <c r="AQ64" s="30">
        <f t="shared" si="184"/>
        <v>0</v>
      </c>
      <c r="AR64" s="39">
        <f t="shared" si="182"/>
        <v>0</v>
      </c>
      <c r="AS64" s="30">
        <f t="shared" si="184"/>
        <v>7.8132868882251965E-6</v>
      </c>
      <c r="AT64" s="39">
        <f t="shared" si="182"/>
        <v>7.8132868882251965E-6</v>
      </c>
      <c r="AU64" s="30">
        <f t="shared" si="184"/>
        <v>9.5495728633863507E-6</v>
      </c>
      <c r="AV64" s="39">
        <f t="shared" si="182"/>
        <v>9.5495728633863507E-6</v>
      </c>
      <c r="AW64" s="30">
        <f t="shared" si="184"/>
        <v>5.0525921877189584E-5</v>
      </c>
      <c r="AX64" s="39">
        <f t="shared" si="182"/>
        <v>5.0525921877189584E-5</v>
      </c>
      <c r="AY64" s="30">
        <f t="shared" si="184"/>
        <v>5.9815051844301742E-5</v>
      </c>
      <c r="AZ64" s="39">
        <f t="shared" si="182"/>
        <v>5.9815051844301742E-5</v>
      </c>
      <c r="BA64" s="30">
        <f t="shared" si="184"/>
        <v>1.8246195241474779E-4</v>
      </c>
      <c r="BB64" s="39">
        <f t="shared" si="182"/>
        <v>1.8246195241474779E-4</v>
      </c>
      <c r="BC64" s="30">
        <f t="shared" si="184"/>
        <v>2.1124089245304391E-4</v>
      </c>
      <c r="BD64" s="39">
        <f t="shared" si="182"/>
        <v>2.1124089245304391E-4</v>
      </c>
      <c r="BE64" s="30">
        <f t="shared" ref="BE64:BG79" si="185">(BD65+BD63)/2</f>
        <v>4.8746228752649418E-4</v>
      </c>
      <c r="BF64" s="39">
        <f t="shared" si="182"/>
        <v>4.8746228752649418E-4</v>
      </c>
      <c r="BG64" s="30">
        <f t="shared" si="185"/>
        <v>5.5471081370195459E-4</v>
      </c>
      <c r="BH64" s="39">
        <f t="shared" si="182"/>
        <v>5.5471081370195459E-4</v>
      </c>
    </row>
    <row r="65" spans="2:60" x14ac:dyDescent="0.3">
      <c r="B65" s="34"/>
      <c r="C65" s="35" t="s">
        <v>37</v>
      </c>
      <c r="D65" s="36">
        <f t="shared" si="178"/>
        <v>-4.2000000000000011</v>
      </c>
      <c r="E65" s="28">
        <v>0</v>
      </c>
      <c r="F65" s="38">
        <v>0</v>
      </c>
      <c r="G65" s="5">
        <f t="shared" si="114"/>
        <v>0</v>
      </c>
      <c r="H65" s="38">
        <f t="shared" si="175"/>
        <v>0</v>
      </c>
      <c r="I65" s="28">
        <f t="shared" si="2"/>
        <v>0</v>
      </c>
      <c r="J65" s="38">
        <f t="shared" si="176"/>
        <v>0</v>
      </c>
      <c r="K65" s="30">
        <f t="shared" si="121"/>
        <v>0</v>
      </c>
      <c r="L65" s="39">
        <f t="shared" si="183"/>
        <v>0</v>
      </c>
      <c r="M65" s="30">
        <f t="shared" ref="M65:AA80" si="186">(L66+L64)/2</f>
        <v>0</v>
      </c>
      <c r="N65" s="39">
        <f t="shared" si="182"/>
        <v>0</v>
      </c>
      <c r="O65" s="30">
        <f t="shared" si="186"/>
        <v>0</v>
      </c>
      <c r="P65" s="39">
        <f t="shared" si="182"/>
        <v>0</v>
      </c>
      <c r="Q65" s="30">
        <f t="shared" si="186"/>
        <v>0</v>
      </c>
      <c r="R65" s="39">
        <f t="shared" si="182"/>
        <v>0</v>
      </c>
      <c r="S65" s="30">
        <f t="shared" si="186"/>
        <v>0</v>
      </c>
      <c r="T65" s="39">
        <f t="shared" si="182"/>
        <v>0</v>
      </c>
      <c r="U65" s="30">
        <f t="shared" si="186"/>
        <v>0</v>
      </c>
      <c r="V65" s="39">
        <f t="shared" si="182"/>
        <v>0</v>
      </c>
      <c r="W65" s="30">
        <f t="shared" si="186"/>
        <v>0</v>
      </c>
      <c r="X65" s="39">
        <f t="shared" si="182"/>
        <v>0</v>
      </c>
      <c r="Y65" s="30">
        <f t="shared" si="186"/>
        <v>0</v>
      </c>
      <c r="Z65" s="39">
        <f t="shared" si="182"/>
        <v>0</v>
      </c>
      <c r="AA65" s="30">
        <f t="shared" si="186"/>
        <v>0</v>
      </c>
      <c r="AB65" s="39">
        <f t="shared" si="182"/>
        <v>0</v>
      </c>
      <c r="AC65" s="30">
        <f t="shared" ref="AC65:AQ80" si="187">(AB66+AB64)/2</f>
        <v>0</v>
      </c>
      <c r="AD65" s="39">
        <f t="shared" si="182"/>
        <v>0</v>
      </c>
      <c r="AE65" s="30">
        <f t="shared" si="187"/>
        <v>0</v>
      </c>
      <c r="AF65" s="39">
        <f t="shared" si="182"/>
        <v>0</v>
      </c>
      <c r="AG65" s="30">
        <f t="shared" si="187"/>
        <v>0</v>
      </c>
      <c r="AH65" s="39">
        <f t="shared" si="182"/>
        <v>0</v>
      </c>
      <c r="AI65" s="30">
        <f t="shared" si="187"/>
        <v>0</v>
      </c>
      <c r="AJ65" s="39">
        <f t="shared" si="182"/>
        <v>0</v>
      </c>
      <c r="AK65" s="30">
        <f t="shared" si="187"/>
        <v>0</v>
      </c>
      <c r="AL65" s="39">
        <f t="shared" si="182"/>
        <v>0</v>
      </c>
      <c r="AM65" s="30">
        <f t="shared" si="187"/>
        <v>0</v>
      </c>
      <c r="AN65" s="39">
        <f t="shared" si="182"/>
        <v>0</v>
      </c>
      <c r="AO65" s="30">
        <f t="shared" si="187"/>
        <v>0</v>
      </c>
      <c r="AP65" s="39">
        <f t="shared" si="182"/>
        <v>0</v>
      </c>
      <c r="AQ65" s="30">
        <f t="shared" si="187"/>
        <v>0</v>
      </c>
      <c r="AR65" s="39">
        <f t="shared" si="182"/>
        <v>0</v>
      </c>
      <c r="AS65" s="30">
        <f t="shared" si="184"/>
        <v>0</v>
      </c>
      <c r="AT65" s="39">
        <f t="shared" si="182"/>
        <v>0</v>
      </c>
      <c r="AU65" s="30">
        <f t="shared" si="184"/>
        <v>3.9066434441125983E-6</v>
      </c>
      <c r="AV65" s="39">
        <f t="shared" si="182"/>
        <v>3.9066434441125983E-6</v>
      </c>
      <c r="AW65" s="30">
        <f t="shared" si="184"/>
        <v>4.7747864316931754E-6</v>
      </c>
      <c r="AX65" s="39">
        <f t="shared" si="182"/>
        <v>4.7747864316931754E-6</v>
      </c>
      <c r="AY65" s="30">
        <f t="shared" si="184"/>
        <v>2.6239621799622941E-5</v>
      </c>
      <c r="AZ65" s="39">
        <f t="shared" si="182"/>
        <v>2.6239621799622941E-5</v>
      </c>
      <c r="BA65" s="30">
        <f t="shared" si="184"/>
        <v>3.1101222530074167E-5</v>
      </c>
      <c r="BB65" s="39">
        <f t="shared" si="182"/>
        <v>3.1101222530074167E-5</v>
      </c>
      <c r="BC65" s="30">
        <f t="shared" si="184"/>
        <v>9.8035046872536674E-5</v>
      </c>
      <c r="BD65" s="39">
        <f t="shared" si="182"/>
        <v>9.8035046872536674E-5</v>
      </c>
      <c r="BE65" s="30">
        <f t="shared" si="185"/>
        <v>1.1369417601102132E-4</v>
      </c>
      <c r="BF65" s="39">
        <f t="shared" si="182"/>
        <v>1.1369417601102132E-4</v>
      </c>
      <c r="BG65" s="30">
        <f t="shared" si="185"/>
        <v>2.700019644514862E-4</v>
      </c>
      <c r="BH65" s="39">
        <f t="shared" si="182"/>
        <v>2.700019644514862E-4</v>
      </c>
    </row>
    <row r="66" spans="2:60" x14ac:dyDescent="0.3">
      <c r="B66" s="34"/>
      <c r="C66" s="35" t="s">
        <v>37</v>
      </c>
      <c r="D66" s="36">
        <f t="shared" si="178"/>
        <v>-4.4000000000000012</v>
      </c>
      <c r="E66" s="28">
        <v>0</v>
      </c>
      <c r="F66" s="38">
        <v>0</v>
      </c>
      <c r="G66" s="5">
        <f t="shared" si="114"/>
        <v>0</v>
      </c>
      <c r="H66" s="38">
        <f t="shared" si="175"/>
        <v>0</v>
      </c>
      <c r="I66" s="28">
        <f t="shared" si="2"/>
        <v>0</v>
      </c>
      <c r="J66" s="38">
        <f t="shared" si="176"/>
        <v>0</v>
      </c>
      <c r="K66" s="30">
        <f t="shared" si="121"/>
        <v>0</v>
      </c>
      <c r="L66" s="39">
        <f t="shared" si="183"/>
        <v>0</v>
      </c>
      <c r="M66" s="30">
        <f t="shared" si="186"/>
        <v>0</v>
      </c>
      <c r="N66" s="39">
        <f t="shared" si="182"/>
        <v>0</v>
      </c>
      <c r="O66" s="30">
        <f t="shared" si="186"/>
        <v>0</v>
      </c>
      <c r="P66" s="39">
        <f t="shared" si="182"/>
        <v>0</v>
      </c>
      <c r="Q66" s="30">
        <f t="shared" si="186"/>
        <v>0</v>
      </c>
      <c r="R66" s="39">
        <f t="shared" si="182"/>
        <v>0</v>
      </c>
      <c r="S66" s="30">
        <f t="shared" si="186"/>
        <v>0</v>
      </c>
      <c r="T66" s="39">
        <f t="shared" si="182"/>
        <v>0</v>
      </c>
      <c r="U66" s="30">
        <f t="shared" si="186"/>
        <v>0</v>
      </c>
      <c r="V66" s="39">
        <f t="shared" si="182"/>
        <v>0</v>
      </c>
      <c r="W66" s="30">
        <f t="shared" si="186"/>
        <v>0</v>
      </c>
      <c r="X66" s="39">
        <f t="shared" si="182"/>
        <v>0</v>
      </c>
      <c r="Y66" s="30">
        <f t="shared" si="186"/>
        <v>0</v>
      </c>
      <c r="Z66" s="39">
        <f t="shared" si="182"/>
        <v>0</v>
      </c>
      <c r="AA66" s="30">
        <f t="shared" si="186"/>
        <v>0</v>
      </c>
      <c r="AB66" s="39">
        <f t="shared" si="182"/>
        <v>0</v>
      </c>
      <c r="AC66" s="30">
        <f t="shared" si="187"/>
        <v>0</v>
      </c>
      <c r="AD66" s="39">
        <f t="shared" si="182"/>
        <v>0</v>
      </c>
      <c r="AE66" s="30">
        <f t="shared" si="187"/>
        <v>0</v>
      </c>
      <c r="AF66" s="39">
        <f t="shared" si="182"/>
        <v>0</v>
      </c>
      <c r="AG66" s="30">
        <f t="shared" si="187"/>
        <v>0</v>
      </c>
      <c r="AH66" s="39">
        <f t="shared" si="182"/>
        <v>0</v>
      </c>
      <c r="AI66" s="30">
        <f t="shared" si="187"/>
        <v>0</v>
      </c>
      <c r="AJ66" s="39">
        <f t="shared" si="182"/>
        <v>0</v>
      </c>
      <c r="AK66" s="30">
        <f t="shared" si="187"/>
        <v>0</v>
      </c>
      <c r="AL66" s="39">
        <f t="shared" si="182"/>
        <v>0</v>
      </c>
      <c r="AM66" s="30">
        <f t="shared" si="187"/>
        <v>0</v>
      </c>
      <c r="AN66" s="39">
        <f t="shared" si="182"/>
        <v>0</v>
      </c>
      <c r="AO66" s="30">
        <f t="shared" si="187"/>
        <v>0</v>
      </c>
      <c r="AP66" s="39">
        <f t="shared" si="182"/>
        <v>0</v>
      </c>
      <c r="AQ66" s="30">
        <f t="shared" si="187"/>
        <v>0</v>
      </c>
      <c r="AR66" s="39">
        <f t="shared" si="182"/>
        <v>0</v>
      </c>
      <c r="AS66" s="30">
        <f t="shared" si="184"/>
        <v>0</v>
      </c>
      <c r="AT66" s="39">
        <f t="shared" si="182"/>
        <v>0</v>
      </c>
      <c r="AU66" s="30">
        <f t="shared" si="184"/>
        <v>0</v>
      </c>
      <c r="AV66" s="39">
        <f t="shared" si="182"/>
        <v>0</v>
      </c>
      <c r="AW66" s="30">
        <f t="shared" si="184"/>
        <v>1.9533217220562991E-6</v>
      </c>
      <c r="AX66" s="39">
        <f t="shared" si="182"/>
        <v>1.9533217220562991E-6</v>
      </c>
      <c r="AY66" s="30">
        <f t="shared" si="184"/>
        <v>2.3873932158465877E-6</v>
      </c>
      <c r="AZ66" s="39">
        <f t="shared" si="182"/>
        <v>2.3873932158465877E-6</v>
      </c>
      <c r="BA66" s="30">
        <f t="shared" si="184"/>
        <v>1.3608141330325544E-5</v>
      </c>
      <c r="BB66" s="39">
        <f t="shared" si="182"/>
        <v>1.3608141330325544E-5</v>
      </c>
      <c r="BC66" s="30">
        <f t="shared" si="184"/>
        <v>1.6147459568998731E-5</v>
      </c>
      <c r="BD66" s="39">
        <f t="shared" si="182"/>
        <v>1.6147459568998731E-5</v>
      </c>
      <c r="BE66" s="30">
        <f t="shared" si="185"/>
        <v>5.2541641376478245E-5</v>
      </c>
      <c r="BF66" s="39">
        <f t="shared" si="182"/>
        <v>5.2541641376478245E-5</v>
      </c>
      <c r="BG66" s="30">
        <f t="shared" si="185"/>
        <v>6.1033164973750755E-5</v>
      </c>
      <c r="BH66" s="39">
        <f t="shared" si="182"/>
        <v>6.1033164973750755E-5</v>
      </c>
    </row>
    <row r="67" spans="2:60" x14ac:dyDescent="0.3">
      <c r="B67" s="34"/>
      <c r="C67" s="35" t="s">
        <v>37</v>
      </c>
      <c r="D67" s="36">
        <f t="shared" si="178"/>
        <v>-4.6000000000000014</v>
      </c>
      <c r="E67" s="28">
        <v>0</v>
      </c>
      <c r="F67" s="38">
        <v>0</v>
      </c>
      <c r="G67" s="5">
        <f t="shared" si="114"/>
        <v>0</v>
      </c>
      <c r="H67" s="38">
        <f t="shared" si="175"/>
        <v>0</v>
      </c>
      <c r="I67" s="28">
        <f t="shared" si="2"/>
        <v>0</v>
      </c>
      <c r="J67" s="38">
        <f t="shared" si="176"/>
        <v>0</v>
      </c>
      <c r="K67" s="30">
        <f t="shared" si="121"/>
        <v>0</v>
      </c>
      <c r="L67" s="39">
        <f t="shared" si="183"/>
        <v>0</v>
      </c>
      <c r="M67" s="30">
        <f t="shared" si="186"/>
        <v>0</v>
      </c>
      <c r="N67" s="39">
        <f t="shared" si="182"/>
        <v>0</v>
      </c>
      <c r="O67" s="30">
        <f t="shared" si="186"/>
        <v>0</v>
      </c>
      <c r="P67" s="39">
        <f t="shared" si="182"/>
        <v>0</v>
      </c>
      <c r="Q67" s="30">
        <f t="shared" si="186"/>
        <v>0</v>
      </c>
      <c r="R67" s="39">
        <f t="shared" si="182"/>
        <v>0</v>
      </c>
      <c r="S67" s="30">
        <f t="shared" si="186"/>
        <v>0</v>
      </c>
      <c r="T67" s="39">
        <f t="shared" si="182"/>
        <v>0</v>
      </c>
      <c r="U67" s="30">
        <f t="shared" si="186"/>
        <v>0</v>
      </c>
      <c r="V67" s="39">
        <f t="shared" si="182"/>
        <v>0</v>
      </c>
      <c r="W67" s="30">
        <f t="shared" si="186"/>
        <v>0</v>
      </c>
      <c r="X67" s="39">
        <f t="shared" si="182"/>
        <v>0</v>
      </c>
      <c r="Y67" s="30">
        <f t="shared" si="186"/>
        <v>0</v>
      </c>
      <c r="Z67" s="39">
        <f t="shared" si="182"/>
        <v>0</v>
      </c>
      <c r="AA67" s="30">
        <f t="shared" si="186"/>
        <v>0</v>
      </c>
      <c r="AB67" s="39">
        <f t="shared" si="182"/>
        <v>0</v>
      </c>
      <c r="AC67" s="30">
        <f t="shared" si="187"/>
        <v>0</v>
      </c>
      <c r="AD67" s="39">
        <f t="shared" si="182"/>
        <v>0</v>
      </c>
      <c r="AE67" s="30">
        <f t="shared" si="187"/>
        <v>0</v>
      </c>
      <c r="AF67" s="39">
        <f t="shared" si="182"/>
        <v>0</v>
      </c>
      <c r="AG67" s="30">
        <f t="shared" si="187"/>
        <v>0</v>
      </c>
      <c r="AH67" s="39">
        <f t="shared" si="182"/>
        <v>0</v>
      </c>
      <c r="AI67" s="30">
        <f t="shared" si="187"/>
        <v>0</v>
      </c>
      <c r="AJ67" s="39">
        <f t="shared" si="182"/>
        <v>0</v>
      </c>
      <c r="AK67" s="30">
        <f t="shared" si="187"/>
        <v>0</v>
      </c>
      <c r="AL67" s="39">
        <f t="shared" si="182"/>
        <v>0</v>
      </c>
      <c r="AM67" s="30">
        <f t="shared" si="187"/>
        <v>0</v>
      </c>
      <c r="AN67" s="39">
        <f t="shared" si="182"/>
        <v>0</v>
      </c>
      <c r="AO67" s="30">
        <f t="shared" si="187"/>
        <v>0</v>
      </c>
      <c r="AP67" s="39">
        <f t="shared" si="182"/>
        <v>0</v>
      </c>
      <c r="AQ67" s="30">
        <f t="shared" si="187"/>
        <v>0</v>
      </c>
      <c r="AR67" s="39">
        <f t="shared" si="182"/>
        <v>0</v>
      </c>
      <c r="AS67" s="30">
        <f t="shared" si="184"/>
        <v>0</v>
      </c>
      <c r="AT67" s="39">
        <f t="shared" si="182"/>
        <v>0</v>
      </c>
      <c r="AU67" s="30">
        <f t="shared" si="184"/>
        <v>0</v>
      </c>
      <c r="AV67" s="39">
        <f t="shared" si="182"/>
        <v>0</v>
      </c>
      <c r="AW67" s="30">
        <f t="shared" si="184"/>
        <v>0</v>
      </c>
      <c r="AX67" s="39">
        <f t="shared" si="182"/>
        <v>0</v>
      </c>
      <c r="AY67" s="30">
        <f t="shared" si="184"/>
        <v>9.7666086102814956E-7</v>
      </c>
      <c r="AZ67" s="39">
        <f t="shared" si="182"/>
        <v>9.7666086102814956E-7</v>
      </c>
      <c r="BA67" s="30">
        <f t="shared" si="184"/>
        <v>1.1936966079232938E-6</v>
      </c>
      <c r="BB67" s="39">
        <f t="shared" si="182"/>
        <v>1.1936966079232938E-6</v>
      </c>
      <c r="BC67" s="30">
        <f t="shared" si="184"/>
        <v>7.0482358804198093E-6</v>
      </c>
      <c r="BD67" s="39">
        <f t="shared" si="182"/>
        <v>7.0482358804198093E-6</v>
      </c>
      <c r="BE67" s="30">
        <f t="shared" si="185"/>
        <v>8.3721539364801896E-6</v>
      </c>
      <c r="BF67" s="39">
        <f t="shared" si="182"/>
        <v>8.3721539364801896E-6</v>
      </c>
      <c r="BG67" s="30">
        <f t="shared" si="185"/>
        <v>2.8093920962158335E-5</v>
      </c>
      <c r="BH67" s="39">
        <f t="shared" si="182"/>
        <v>2.8093920962158335E-5</v>
      </c>
    </row>
    <row r="68" spans="2:60" x14ac:dyDescent="0.3">
      <c r="B68" s="34"/>
      <c r="C68" s="35" t="s">
        <v>37</v>
      </c>
      <c r="D68" s="36">
        <f t="shared" si="178"/>
        <v>-4.8000000000000016</v>
      </c>
      <c r="E68" s="28">
        <v>0</v>
      </c>
      <c r="F68" s="38">
        <v>0</v>
      </c>
      <c r="G68" s="5">
        <f t="shared" si="114"/>
        <v>0</v>
      </c>
      <c r="H68" s="38">
        <f t="shared" si="175"/>
        <v>0</v>
      </c>
      <c r="I68" s="28">
        <f t="shared" si="2"/>
        <v>0</v>
      </c>
      <c r="J68" s="38">
        <f t="shared" si="176"/>
        <v>0</v>
      </c>
      <c r="K68" s="30">
        <f t="shared" si="121"/>
        <v>0</v>
      </c>
      <c r="L68" s="39">
        <f t="shared" si="183"/>
        <v>0</v>
      </c>
      <c r="M68" s="30">
        <f t="shared" si="186"/>
        <v>0</v>
      </c>
      <c r="N68" s="39">
        <f t="shared" si="182"/>
        <v>0</v>
      </c>
      <c r="O68" s="30">
        <f t="shared" si="186"/>
        <v>0</v>
      </c>
      <c r="P68" s="39">
        <f t="shared" si="182"/>
        <v>0</v>
      </c>
      <c r="Q68" s="30">
        <f t="shared" si="186"/>
        <v>0</v>
      </c>
      <c r="R68" s="39">
        <f t="shared" si="182"/>
        <v>0</v>
      </c>
      <c r="S68" s="30">
        <f t="shared" si="186"/>
        <v>0</v>
      </c>
      <c r="T68" s="39">
        <f t="shared" si="182"/>
        <v>0</v>
      </c>
      <c r="U68" s="30">
        <f t="shared" si="186"/>
        <v>0</v>
      </c>
      <c r="V68" s="39">
        <f t="shared" si="182"/>
        <v>0</v>
      </c>
      <c r="W68" s="30">
        <f t="shared" si="186"/>
        <v>0</v>
      </c>
      <c r="X68" s="39">
        <f t="shared" si="182"/>
        <v>0</v>
      </c>
      <c r="Y68" s="30">
        <f t="shared" si="186"/>
        <v>0</v>
      </c>
      <c r="Z68" s="39">
        <f t="shared" si="182"/>
        <v>0</v>
      </c>
      <c r="AA68" s="30">
        <f t="shared" si="186"/>
        <v>0</v>
      </c>
      <c r="AB68" s="39">
        <f t="shared" si="182"/>
        <v>0</v>
      </c>
      <c r="AC68" s="30">
        <f t="shared" si="187"/>
        <v>0</v>
      </c>
      <c r="AD68" s="39">
        <f t="shared" si="182"/>
        <v>0</v>
      </c>
      <c r="AE68" s="30">
        <f t="shared" si="187"/>
        <v>0</v>
      </c>
      <c r="AF68" s="39">
        <f t="shared" si="182"/>
        <v>0</v>
      </c>
      <c r="AG68" s="30">
        <f t="shared" si="187"/>
        <v>0</v>
      </c>
      <c r="AH68" s="39">
        <f t="shared" si="182"/>
        <v>0</v>
      </c>
      <c r="AI68" s="30">
        <f t="shared" si="187"/>
        <v>0</v>
      </c>
      <c r="AJ68" s="39">
        <f t="shared" si="182"/>
        <v>0</v>
      </c>
      <c r="AK68" s="30">
        <f t="shared" si="187"/>
        <v>0</v>
      </c>
      <c r="AL68" s="39">
        <f t="shared" si="182"/>
        <v>0</v>
      </c>
      <c r="AM68" s="30">
        <f t="shared" si="187"/>
        <v>0</v>
      </c>
      <c r="AN68" s="39">
        <f t="shared" si="182"/>
        <v>0</v>
      </c>
      <c r="AO68" s="30">
        <f t="shared" si="187"/>
        <v>0</v>
      </c>
      <c r="AP68" s="39">
        <f t="shared" si="182"/>
        <v>0</v>
      </c>
      <c r="AQ68" s="30">
        <f t="shared" si="187"/>
        <v>0</v>
      </c>
      <c r="AR68" s="39">
        <f t="shared" si="182"/>
        <v>0</v>
      </c>
      <c r="AS68" s="30">
        <f t="shared" si="184"/>
        <v>0</v>
      </c>
      <c r="AT68" s="39">
        <f t="shared" si="182"/>
        <v>0</v>
      </c>
      <c r="AU68" s="30">
        <f t="shared" si="184"/>
        <v>0</v>
      </c>
      <c r="AV68" s="39">
        <f t="shared" si="182"/>
        <v>0</v>
      </c>
      <c r="AW68" s="30">
        <f t="shared" si="184"/>
        <v>0</v>
      </c>
      <c r="AX68" s="39">
        <f t="shared" si="182"/>
        <v>0</v>
      </c>
      <c r="AY68" s="30">
        <f t="shared" si="184"/>
        <v>0</v>
      </c>
      <c r="AZ68" s="39">
        <f t="shared" si="182"/>
        <v>0</v>
      </c>
      <c r="BA68" s="30">
        <f t="shared" si="184"/>
        <v>4.8833043051407478E-7</v>
      </c>
      <c r="BB68" s="39">
        <f t="shared" si="182"/>
        <v>4.8833043051407478E-7</v>
      </c>
      <c r="BC68" s="30">
        <f t="shared" si="184"/>
        <v>5.9684830396164692E-7</v>
      </c>
      <c r="BD68" s="39">
        <f t="shared" si="182"/>
        <v>5.9684830396164692E-7</v>
      </c>
      <c r="BE68" s="30">
        <f t="shared" si="185"/>
        <v>3.6462005478384232E-6</v>
      </c>
      <c r="BF68" s="39">
        <f t="shared" si="182"/>
        <v>3.6462005478384232E-6</v>
      </c>
      <c r="BG68" s="30">
        <f t="shared" si="185"/>
        <v>4.3352890442305068E-6</v>
      </c>
      <c r="BH68" s="39">
        <f t="shared" si="182"/>
        <v>4.3352890442305068E-6</v>
      </c>
    </row>
    <row r="69" spans="2:60" x14ac:dyDescent="0.3">
      <c r="B69" s="34"/>
      <c r="C69" s="35" t="s">
        <v>37</v>
      </c>
      <c r="D69" s="36">
        <f t="shared" si="178"/>
        <v>-5.0000000000000018</v>
      </c>
      <c r="E69" s="28">
        <v>0</v>
      </c>
      <c r="F69" s="38">
        <v>0</v>
      </c>
      <c r="G69" s="5">
        <f t="shared" si="114"/>
        <v>0</v>
      </c>
      <c r="H69" s="38">
        <f t="shared" si="175"/>
        <v>0</v>
      </c>
      <c r="I69" s="28">
        <f t="shared" si="2"/>
        <v>0</v>
      </c>
      <c r="J69" s="38">
        <f t="shared" si="176"/>
        <v>0</v>
      </c>
      <c r="K69" s="30">
        <f t="shared" si="121"/>
        <v>0</v>
      </c>
      <c r="L69" s="39">
        <f t="shared" si="183"/>
        <v>0</v>
      </c>
      <c r="M69" s="30">
        <f t="shared" si="186"/>
        <v>0</v>
      </c>
      <c r="N69" s="39">
        <f t="shared" si="182"/>
        <v>0</v>
      </c>
      <c r="O69" s="30">
        <f t="shared" si="186"/>
        <v>0</v>
      </c>
      <c r="P69" s="39">
        <f t="shared" si="182"/>
        <v>0</v>
      </c>
      <c r="Q69" s="30">
        <f t="shared" si="186"/>
        <v>0</v>
      </c>
      <c r="R69" s="39">
        <f t="shared" si="182"/>
        <v>0</v>
      </c>
      <c r="S69" s="30">
        <f t="shared" si="186"/>
        <v>0</v>
      </c>
      <c r="T69" s="39">
        <f t="shared" si="182"/>
        <v>0</v>
      </c>
      <c r="U69" s="30">
        <f t="shared" si="186"/>
        <v>0</v>
      </c>
      <c r="V69" s="39">
        <f t="shared" si="182"/>
        <v>0</v>
      </c>
      <c r="W69" s="30">
        <f t="shared" si="186"/>
        <v>0</v>
      </c>
      <c r="X69" s="39">
        <f t="shared" si="182"/>
        <v>0</v>
      </c>
      <c r="Y69" s="30">
        <f t="shared" si="186"/>
        <v>0</v>
      </c>
      <c r="Z69" s="39">
        <f t="shared" si="182"/>
        <v>0</v>
      </c>
      <c r="AA69" s="30">
        <f t="shared" si="186"/>
        <v>0</v>
      </c>
      <c r="AB69" s="39">
        <f t="shared" si="182"/>
        <v>0</v>
      </c>
      <c r="AC69" s="30">
        <f t="shared" si="187"/>
        <v>0</v>
      </c>
      <c r="AD69" s="39">
        <f t="shared" si="182"/>
        <v>0</v>
      </c>
      <c r="AE69" s="30">
        <f t="shared" si="187"/>
        <v>0</v>
      </c>
      <c r="AF69" s="39">
        <f t="shared" si="182"/>
        <v>0</v>
      </c>
      <c r="AG69" s="30">
        <f t="shared" si="187"/>
        <v>0</v>
      </c>
      <c r="AH69" s="39">
        <f t="shared" si="182"/>
        <v>0</v>
      </c>
      <c r="AI69" s="30">
        <f t="shared" si="187"/>
        <v>0</v>
      </c>
      <c r="AJ69" s="39">
        <f t="shared" si="182"/>
        <v>0</v>
      </c>
      <c r="AK69" s="30">
        <f t="shared" si="187"/>
        <v>0</v>
      </c>
      <c r="AL69" s="39">
        <f t="shared" si="182"/>
        <v>0</v>
      </c>
      <c r="AM69" s="30">
        <f t="shared" si="187"/>
        <v>0</v>
      </c>
      <c r="AN69" s="39">
        <f t="shared" si="182"/>
        <v>0</v>
      </c>
      <c r="AO69" s="30">
        <f t="shared" si="187"/>
        <v>0</v>
      </c>
      <c r="AP69" s="39">
        <f t="shared" si="182"/>
        <v>0</v>
      </c>
      <c r="AQ69" s="30">
        <f t="shared" si="187"/>
        <v>0</v>
      </c>
      <c r="AR69" s="39">
        <f t="shared" si="182"/>
        <v>0</v>
      </c>
      <c r="AS69" s="30">
        <f t="shared" si="184"/>
        <v>0</v>
      </c>
      <c r="AT69" s="39">
        <f t="shared" si="182"/>
        <v>0</v>
      </c>
      <c r="AU69" s="30">
        <f t="shared" si="184"/>
        <v>0</v>
      </c>
      <c r="AV69" s="39">
        <f t="shared" si="182"/>
        <v>0</v>
      </c>
      <c r="AW69" s="30">
        <f t="shared" si="184"/>
        <v>0</v>
      </c>
      <c r="AX69" s="39">
        <f t="shared" si="182"/>
        <v>0</v>
      </c>
      <c r="AY69" s="30">
        <f t="shared" si="184"/>
        <v>0</v>
      </c>
      <c r="AZ69" s="39">
        <f t="shared" si="182"/>
        <v>0</v>
      </c>
      <c r="BA69" s="30">
        <f t="shared" si="184"/>
        <v>0</v>
      </c>
      <c r="BB69" s="39">
        <f t="shared" si="182"/>
        <v>0</v>
      </c>
      <c r="BC69" s="30">
        <f t="shared" si="184"/>
        <v>2.4416521525703739E-7</v>
      </c>
      <c r="BD69" s="39">
        <f t="shared" si="182"/>
        <v>2.4416521525703739E-7</v>
      </c>
      <c r="BE69" s="30">
        <f t="shared" si="185"/>
        <v>2.9842415198082346E-7</v>
      </c>
      <c r="BF69" s="39">
        <f t="shared" si="182"/>
        <v>2.9842415198082346E-7</v>
      </c>
      <c r="BG69" s="30">
        <f t="shared" si="185"/>
        <v>1.8841415777334709E-6</v>
      </c>
      <c r="BH69" s="39">
        <f t="shared" si="182"/>
        <v>1.8841415777334709E-6</v>
      </c>
    </row>
    <row r="70" spans="2:60" x14ac:dyDescent="0.3">
      <c r="B70" s="34"/>
      <c r="C70" s="35" t="s">
        <v>37</v>
      </c>
      <c r="D70" s="36">
        <f t="shared" si="178"/>
        <v>-5.200000000000002</v>
      </c>
      <c r="E70" s="28">
        <v>0</v>
      </c>
      <c r="F70" s="38">
        <v>0</v>
      </c>
      <c r="G70" s="5">
        <f t="shared" si="114"/>
        <v>0</v>
      </c>
      <c r="H70" s="38">
        <f t="shared" si="175"/>
        <v>0</v>
      </c>
      <c r="I70" s="28">
        <f t="shared" ref="I70:I128" si="188">(H71+H69)/2</f>
        <v>0</v>
      </c>
      <c r="J70" s="38">
        <f t="shared" si="176"/>
        <v>0</v>
      </c>
      <c r="K70" s="30">
        <f t="shared" si="121"/>
        <v>0</v>
      </c>
      <c r="L70" s="39">
        <f t="shared" si="183"/>
        <v>0</v>
      </c>
      <c r="M70" s="30">
        <f t="shared" si="186"/>
        <v>0</v>
      </c>
      <c r="N70" s="39">
        <f t="shared" si="182"/>
        <v>0</v>
      </c>
      <c r="O70" s="30">
        <f t="shared" si="186"/>
        <v>0</v>
      </c>
      <c r="P70" s="39">
        <f t="shared" si="182"/>
        <v>0</v>
      </c>
      <c r="Q70" s="30">
        <f t="shared" si="186"/>
        <v>0</v>
      </c>
      <c r="R70" s="39">
        <f t="shared" si="182"/>
        <v>0</v>
      </c>
      <c r="S70" s="30">
        <f t="shared" si="186"/>
        <v>0</v>
      </c>
      <c r="T70" s="39">
        <f t="shared" si="182"/>
        <v>0</v>
      </c>
      <c r="U70" s="30">
        <f t="shared" si="186"/>
        <v>0</v>
      </c>
      <c r="V70" s="39">
        <f t="shared" si="182"/>
        <v>0</v>
      </c>
      <c r="W70" s="30">
        <f t="shared" si="186"/>
        <v>0</v>
      </c>
      <c r="X70" s="39">
        <f t="shared" si="182"/>
        <v>0</v>
      </c>
      <c r="Y70" s="30">
        <f t="shared" si="186"/>
        <v>0</v>
      </c>
      <c r="Z70" s="39">
        <f t="shared" si="182"/>
        <v>0</v>
      </c>
      <c r="AA70" s="30">
        <f t="shared" si="186"/>
        <v>0</v>
      </c>
      <c r="AB70" s="39">
        <f t="shared" si="182"/>
        <v>0</v>
      </c>
      <c r="AC70" s="30">
        <f t="shared" si="187"/>
        <v>0</v>
      </c>
      <c r="AD70" s="39">
        <f t="shared" si="182"/>
        <v>0</v>
      </c>
      <c r="AE70" s="30">
        <f t="shared" si="187"/>
        <v>0</v>
      </c>
      <c r="AF70" s="39">
        <f t="shared" si="182"/>
        <v>0</v>
      </c>
      <c r="AG70" s="30">
        <f t="shared" si="187"/>
        <v>0</v>
      </c>
      <c r="AH70" s="39">
        <f t="shared" si="182"/>
        <v>0</v>
      </c>
      <c r="AI70" s="30">
        <f t="shared" si="187"/>
        <v>0</v>
      </c>
      <c r="AJ70" s="39">
        <f t="shared" si="182"/>
        <v>0</v>
      </c>
      <c r="AK70" s="30">
        <f t="shared" si="187"/>
        <v>0</v>
      </c>
      <c r="AL70" s="39">
        <f t="shared" si="182"/>
        <v>0</v>
      </c>
      <c r="AM70" s="30">
        <f t="shared" si="187"/>
        <v>0</v>
      </c>
      <c r="AN70" s="39">
        <f t="shared" si="182"/>
        <v>0</v>
      </c>
      <c r="AO70" s="30">
        <f t="shared" si="187"/>
        <v>0</v>
      </c>
      <c r="AP70" s="39">
        <f t="shared" si="182"/>
        <v>0</v>
      </c>
      <c r="AQ70" s="30">
        <f t="shared" si="187"/>
        <v>0</v>
      </c>
      <c r="AR70" s="39">
        <f t="shared" si="182"/>
        <v>0</v>
      </c>
      <c r="AS70" s="30">
        <f t="shared" si="184"/>
        <v>0</v>
      </c>
      <c r="AT70" s="39">
        <f t="shared" si="182"/>
        <v>0</v>
      </c>
      <c r="AU70" s="30">
        <f t="shared" si="184"/>
        <v>0</v>
      </c>
      <c r="AV70" s="39">
        <f t="shared" si="182"/>
        <v>0</v>
      </c>
      <c r="AW70" s="30">
        <f t="shared" si="184"/>
        <v>0</v>
      </c>
      <c r="AX70" s="39">
        <f t="shared" si="182"/>
        <v>0</v>
      </c>
      <c r="AY70" s="30">
        <f t="shared" si="184"/>
        <v>0</v>
      </c>
      <c r="AZ70" s="39">
        <f t="shared" si="182"/>
        <v>0</v>
      </c>
      <c r="BA70" s="30">
        <f t="shared" si="184"/>
        <v>0</v>
      </c>
      <c r="BB70" s="39">
        <f t="shared" si="182"/>
        <v>0</v>
      </c>
      <c r="BC70" s="30">
        <f t="shared" si="184"/>
        <v>0</v>
      </c>
      <c r="BD70" s="39">
        <f t="shared" si="182"/>
        <v>0</v>
      </c>
      <c r="BE70" s="30">
        <f t="shared" si="185"/>
        <v>1.220826076285187E-7</v>
      </c>
      <c r="BF70" s="39">
        <f t="shared" si="182"/>
        <v>1.220826076285187E-7</v>
      </c>
      <c r="BG70" s="30">
        <f t="shared" si="185"/>
        <v>1.4921207599041173E-7</v>
      </c>
      <c r="BH70" s="39">
        <f t="shared" si="182"/>
        <v>1.4921207599041173E-7</v>
      </c>
    </row>
    <row r="71" spans="2:60" x14ac:dyDescent="0.3">
      <c r="B71" s="34"/>
      <c r="C71" s="35" t="s">
        <v>37</v>
      </c>
      <c r="D71" s="36">
        <f t="shared" si="178"/>
        <v>-5.4000000000000021</v>
      </c>
      <c r="E71" s="28">
        <v>0</v>
      </c>
      <c r="F71" s="38">
        <v>0</v>
      </c>
      <c r="G71" s="5">
        <f t="shared" si="114"/>
        <v>0</v>
      </c>
      <c r="H71" s="38">
        <f t="shared" si="175"/>
        <v>0</v>
      </c>
      <c r="I71" s="28">
        <f t="shared" si="188"/>
        <v>0</v>
      </c>
      <c r="J71" s="38">
        <f t="shared" si="176"/>
        <v>0</v>
      </c>
      <c r="K71" s="30">
        <f t="shared" si="121"/>
        <v>0</v>
      </c>
      <c r="L71" s="39">
        <f t="shared" si="183"/>
        <v>0</v>
      </c>
      <c r="M71" s="30">
        <f t="shared" si="121"/>
        <v>0</v>
      </c>
      <c r="N71" s="39">
        <f t="shared" si="182"/>
        <v>0</v>
      </c>
      <c r="O71" s="30">
        <f t="shared" si="121"/>
        <v>0</v>
      </c>
      <c r="P71" s="39">
        <f t="shared" si="182"/>
        <v>0</v>
      </c>
      <c r="Q71" s="30">
        <f t="shared" si="121"/>
        <v>0</v>
      </c>
      <c r="R71" s="39">
        <f t="shared" si="182"/>
        <v>0</v>
      </c>
      <c r="S71" s="30">
        <f t="shared" si="121"/>
        <v>0</v>
      </c>
      <c r="T71" s="39">
        <f t="shared" si="182"/>
        <v>0</v>
      </c>
      <c r="U71" s="30">
        <f t="shared" si="121"/>
        <v>0</v>
      </c>
      <c r="V71" s="39">
        <f t="shared" si="182"/>
        <v>0</v>
      </c>
      <c r="W71" s="30">
        <f t="shared" si="121"/>
        <v>0</v>
      </c>
      <c r="X71" s="39">
        <f t="shared" si="182"/>
        <v>0</v>
      </c>
      <c r="Y71" s="30">
        <f t="shared" si="121"/>
        <v>0</v>
      </c>
      <c r="Z71" s="39">
        <f t="shared" si="182"/>
        <v>0</v>
      </c>
      <c r="AA71" s="30">
        <f t="shared" si="186"/>
        <v>0</v>
      </c>
      <c r="AB71" s="39">
        <f t="shared" si="182"/>
        <v>0</v>
      </c>
      <c r="AC71" s="30">
        <f t="shared" si="187"/>
        <v>0</v>
      </c>
      <c r="AD71" s="39">
        <f t="shared" si="182"/>
        <v>0</v>
      </c>
      <c r="AE71" s="30">
        <f t="shared" si="187"/>
        <v>0</v>
      </c>
      <c r="AF71" s="39">
        <f t="shared" si="182"/>
        <v>0</v>
      </c>
      <c r="AG71" s="30">
        <f t="shared" si="187"/>
        <v>0</v>
      </c>
      <c r="AH71" s="39">
        <f t="shared" si="182"/>
        <v>0</v>
      </c>
      <c r="AI71" s="30">
        <f t="shared" si="187"/>
        <v>0</v>
      </c>
      <c r="AJ71" s="39">
        <f t="shared" si="182"/>
        <v>0</v>
      </c>
      <c r="AK71" s="30">
        <f t="shared" si="187"/>
        <v>0</v>
      </c>
      <c r="AL71" s="39">
        <f t="shared" si="182"/>
        <v>0</v>
      </c>
      <c r="AM71" s="30">
        <f t="shared" si="187"/>
        <v>0</v>
      </c>
      <c r="AN71" s="39">
        <f t="shared" si="182"/>
        <v>0</v>
      </c>
      <c r="AO71" s="30">
        <f t="shared" si="187"/>
        <v>0</v>
      </c>
      <c r="AP71" s="39">
        <f t="shared" si="182"/>
        <v>0</v>
      </c>
      <c r="AQ71" s="30">
        <f t="shared" si="187"/>
        <v>0</v>
      </c>
      <c r="AR71" s="39">
        <f t="shared" si="182"/>
        <v>0</v>
      </c>
      <c r="AS71" s="30">
        <f t="shared" si="184"/>
        <v>0</v>
      </c>
      <c r="AT71" s="39">
        <f t="shared" si="182"/>
        <v>0</v>
      </c>
      <c r="AU71" s="30">
        <f t="shared" si="184"/>
        <v>0</v>
      </c>
      <c r="AV71" s="39">
        <f t="shared" si="182"/>
        <v>0</v>
      </c>
      <c r="AW71" s="30">
        <f t="shared" si="184"/>
        <v>0</v>
      </c>
      <c r="AX71" s="39">
        <f t="shared" si="182"/>
        <v>0</v>
      </c>
      <c r="AY71" s="30">
        <f t="shared" si="184"/>
        <v>0</v>
      </c>
      <c r="AZ71" s="39">
        <f t="shared" si="182"/>
        <v>0</v>
      </c>
      <c r="BA71" s="30">
        <f t="shared" si="184"/>
        <v>0</v>
      </c>
      <c r="BB71" s="39">
        <f t="shared" si="182"/>
        <v>0</v>
      </c>
      <c r="BC71" s="30">
        <f t="shared" si="184"/>
        <v>0</v>
      </c>
      <c r="BD71" s="39">
        <f t="shared" si="182"/>
        <v>0</v>
      </c>
      <c r="BE71" s="30">
        <f t="shared" si="185"/>
        <v>0</v>
      </c>
      <c r="BF71" s="39">
        <f t="shared" si="182"/>
        <v>0</v>
      </c>
      <c r="BG71" s="30">
        <f t="shared" si="185"/>
        <v>6.1041303814259348E-8</v>
      </c>
      <c r="BH71" s="39">
        <f t="shared" si="182"/>
        <v>6.1041303814259348E-8</v>
      </c>
    </row>
    <row r="72" spans="2:60" x14ac:dyDescent="0.3">
      <c r="B72" s="34"/>
      <c r="C72" s="35" t="s">
        <v>37</v>
      </c>
      <c r="D72" s="36">
        <f t="shared" si="178"/>
        <v>-5.6000000000000023</v>
      </c>
      <c r="E72" s="28">
        <v>0</v>
      </c>
      <c r="F72" s="38">
        <v>0</v>
      </c>
      <c r="G72" s="5">
        <f t="shared" si="114"/>
        <v>0</v>
      </c>
      <c r="H72" s="38">
        <f t="shared" si="175"/>
        <v>0</v>
      </c>
      <c r="I72" s="28">
        <f t="shared" si="188"/>
        <v>0</v>
      </c>
      <c r="J72" s="38">
        <f t="shared" si="176"/>
        <v>0</v>
      </c>
      <c r="K72" s="30">
        <f t="shared" si="121"/>
        <v>0</v>
      </c>
      <c r="L72" s="39">
        <f t="shared" si="183"/>
        <v>0</v>
      </c>
      <c r="M72" s="30">
        <f t="shared" si="121"/>
        <v>0</v>
      </c>
      <c r="N72" s="39">
        <f t="shared" si="182"/>
        <v>0</v>
      </c>
      <c r="O72" s="30">
        <f t="shared" si="121"/>
        <v>0</v>
      </c>
      <c r="P72" s="39">
        <f t="shared" si="182"/>
        <v>0</v>
      </c>
      <c r="Q72" s="30">
        <f t="shared" si="121"/>
        <v>0</v>
      </c>
      <c r="R72" s="39">
        <f t="shared" si="182"/>
        <v>0</v>
      </c>
      <c r="S72" s="30">
        <f t="shared" si="121"/>
        <v>0</v>
      </c>
      <c r="T72" s="39">
        <f t="shared" si="182"/>
        <v>0</v>
      </c>
      <c r="U72" s="30">
        <f t="shared" si="121"/>
        <v>0</v>
      </c>
      <c r="V72" s="39">
        <f t="shared" si="182"/>
        <v>0</v>
      </c>
      <c r="W72" s="30">
        <f t="shared" si="121"/>
        <v>0</v>
      </c>
      <c r="X72" s="39">
        <f t="shared" si="182"/>
        <v>0</v>
      </c>
      <c r="Y72" s="30">
        <f t="shared" si="121"/>
        <v>0</v>
      </c>
      <c r="Z72" s="39">
        <f t="shared" si="182"/>
        <v>0</v>
      </c>
      <c r="AA72" s="30">
        <f t="shared" si="186"/>
        <v>0</v>
      </c>
      <c r="AB72" s="39">
        <f t="shared" si="182"/>
        <v>0</v>
      </c>
      <c r="AC72" s="30">
        <f t="shared" si="187"/>
        <v>0</v>
      </c>
      <c r="AD72" s="39">
        <f t="shared" si="182"/>
        <v>0</v>
      </c>
      <c r="AE72" s="30">
        <f t="shared" si="187"/>
        <v>0</v>
      </c>
      <c r="AF72" s="39">
        <f t="shared" si="182"/>
        <v>0</v>
      </c>
      <c r="AG72" s="30">
        <f t="shared" si="187"/>
        <v>0</v>
      </c>
      <c r="AH72" s="39">
        <f t="shared" si="182"/>
        <v>0</v>
      </c>
      <c r="AI72" s="30">
        <f t="shared" si="187"/>
        <v>0</v>
      </c>
      <c r="AJ72" s="39">
        <f t="shared" si="182"/>
        <v>0</v>
      </c>
      <c r="AK72" s="30">
        <f t="shared" si="187"/>
        <v>0</v>
      </c>
      <c r="AL72" s="39">
        <f t="shared" si="182"/>
        <v>0</v>
      </c>
      <c r="AM72" s="30">
        <f t="shared" si="187"/>
        <v>0</v>
      </c>
      <c r="AN72" s="39">
        <f t="shared" si="182"/>
        <v>0</v>
      </c>
      <c r="AO72" s="30">
        <f t="shared" si="187"/>
        <v>0</v>
      </c>
      <c r="AP72" s="39">
        <f t="shared" ref="AP72:BD84" si="189">AO72</f>
        <v>0</v>
      </c>
      <c r="AQ72" s="30">
        <f t="shared" si="187"/>
        <v>0</v>
      </c>
      <c r="AR72" s="39">
        <f t="shared" si="189"/>
        <v>0</v>
      </c>
      <c r="AS72" s="30">
        <f t="shared" si="184"/>
        <v>0</v>
      </c>
      <c r="AT72" s="39">
        <f t="shared" si="189"/>
        <v>0</v>
      </c>
      <c r="AU72" s="30">
        <f t="shared" si="184"/>
        <v>0</v>
      </c>
      <c r="AV72" s="39">
        <f t="shared" si="189"/>
        <v>0</v>
      </c>
      <c r="AW72" s="30">
        <f t="shared" si="184"/>
        <v>0</v>
      </c>
      <c r="AX72" s="39">
        <f t="shared" si="189"/>
        <v>0</v>
      </c>
      <c r="AY72" s="30">
        <f t="shared" si="184"/>
        <v>0</v>
      </c>
      <c r="AZ72" s="39">
        <f t="shared" si="189"/>
        <v>0</v>
      </c>
      <c r="BA72" s="30">
        <f t="shared" si="184"/>
        <v>0</v>
      </c>
      <c r="BB72" s="39">
        <f t="shared" si="189"/>
        <v>0</v>
      </c>
      <c r="BC72" s="30">
        <f t="shared" si="184"/>
        <v>0</v>
      </c>
      <c r="BD72" s="39">
        <f t="shared" si="189"/>
        <v>0</v>
      </c>
      <c r="BE72" s="30">
        <f t="shared" si="185"/>
        <v>0</v>
      </c>
      <c r="BF72" s="39">
        <f t="shared" ref="BF72:BH84" si="190">BE72</f>
        <v>0</v>
      </c>
      <c r="BG72" s="30">
        <f t="shared" si="185"/>
        <v>0</v>
      </c>
      <c r="BH72" s="39">
        <f t="shared" si="190"/>
        <v>0</v>
      </c>
    </row>
    <row r="73" spans="2:60" x14ac:dyDescent="0.3">
      <c r="B73" s="34"/>
      <c r="C73" s="35" t="s">
        <v>37</v>
      </c>
      <c r="D73" s="36">
        <f t="shared" si="178"/>
        <v>-5.8000000000000025</v>
      </c>
      <c r="E73" s="28">
        <v>0</v>
      </c>
      <c r="F73" s="38">
        <v>0</v>
      </c>
      <c r="G73" s="5">
        <f t="shared" si="114"/>
        <v>0</v>
      </c>
      <c r="H73" s="38">
        <f t="shared" si="175"/>
        <v>0</v>
      </c>
      <c r="I73" s="28">
        <f t="shared" si="188"/>
        <v>0</v>
      </c>
      <c r="J73" s="38">
        <f t="shared" si="176"/>
        <v>0</v>
      </c>
      <c r="K73" s="30">
        <f t="shared" si="121"/>
        <v>0</v>
      </c>
      <c r="L73" s="39">
        <f t="shared" si="183"/>
        <v>0</v>
      </c>
      <c r="M73" s="30">
        <f t="shared" si="121"/>
        <v>0</v>
      </c>
      <c r="N73" s="39">
        <f t="shared" ref="N73:AB84" si="191">M73</f>
        <v>0</v>
      </c>
      <c r="O73" s="30">
        <f t="shared" si="121"/>
        <v>0</v>
      </c>
      <c r="P73" s="39">
        <f t="shared" si="191"/>
        <v>0</v>
      </c>
      <c r="Q73" s="30">
        <f t="shared" si="121"/>
        <v>0</v>
      </c>
      <c r="R73" s="39">
        <f t="shared" si="191"/>
        <v>0</v>
      </c>
      <c r="S73" s="30">
        <f t="shared" si="121"/>
        <v>0</v>
      </c>
      <c r="T73" s="39">
        <f t="shared" si="191"/>
        <v>0</v>
      </c>
      <c r="U73" s="30">
        <f t="shared" si="121"/>
        <v>0</v>
      </c>
      <c r="V73" s="39">
        <f t="shared" si="191"/>
        <v>0</v>
      </c>
      <c r="W73" s="30">
        <f t="shared" si="121"/>
        <v>0</v>
      </c>
      <c r="X73" s="39">
        <f t="shared" si="191"/>
        <v>0</v>
      </c>
      <c r="Y73" s="30">
        <f t="shared" si="121"/>
        <v>0</v>
      </c>
      <c r="Z73" s="39">
        <f t="shared" si="191"/>
        <v>0</v>
      </c>
      <c r="AA73" s="30">
        <f t="shared" si="186"/>
        <v>0</v>
      </c>
      <c r="AB73" s="39">
        <f t="shared" si="191"/>
        <v>0</v>
      </c>
      <c r="AC73" s="30">
        <f t="shared" si="187"/>
        <v>0</v>
      </c>
      <c r="AD73" s="39">
        <f t="shared" ref="AD73:AR84" si="192">AC73</f>
        <v>0</v>
      </c>
      <c r="AE73" s="30">
        <f t="shared" si="187"/>
        <v>0</v>
      </c>
      <c r="AF73" s="39">
        <f t="shared" si="192"/>
        <v>0</v>
      </c>
      <c r="AG73" s="30">
        <f t="shared" si="187"/>
        <v>0</v>
      </c>
      <c r="AH73" s="39">
        <f t="shared" si="192"/>
        <v>0</v>
      </c>
      <c r="AI73" s="30">
        <f t="shared" si="187"/>
        <v>0</v>
      </c>
      <c r="AJ73" s="39">
        <f t="shared" si="192"/>
        <v>0</v>
      </c>
      <c r="AK73" s="30">
        <f t="shared" si="187"/>
        <v>0</v>
      </c>
      <c r="AL73" s="39">
        <f t="shared" si="192"/>
        <v>0</v>
      </c>
      <c r="AM73" s="30">
        <f t="shared" si="187"/>
        <v>0</v>
      </c>
      <c r="AN73" s="39">
        <f t="shared" si="192"/>
        <v>0</v>
      </c>
      <c r="AO73" s="30">
        <f t="shared" si="187"/>
        <v>0</v>
      </c>
      <c r="AP73" s="39">
        <f t="shared" si="192"/>
        <v>0</v>
      </c>
      <c r="AQ73" s="30">
        <f t="shared" si="187"/>
        <v>0</v>
      </c>
      <c r="AR73" s="39">
        <f t="shared" si="192"/>
        <v>0</v>
      </c>
      <c r="AS73" s="30">
        <f t="shared" si="184"/>
        <v>0</v>
      </c>
      <c r="AT73" s="39">
        <f t="shared" si="189"/>
        <v>0</v>
      </c>
      <c r="AU73" s="30">
        <f t="shared" si="184"/>
        <v>0</v>
      </c>
      <c r="AV73" s="39">
        <f t="shared" si="189"/>
        <v>0</v>
      </c>
      <c r="AW73" s="30">
        <f t="shared" si="184"/>
        <v>0</v>
      </c>
      <c r="AX73" s="39">
        <f t="shared" si="189"/>
        <v>0</v>
      </c>
      <c r="AY73" s="30">
        <f t="shared" si="184"/>
        <v>0</v>
      </c>
      <c r="AZ73" s="39">
        <f t="shared" si="189"/>
        <v>0</v>
      </c>
      <c r="BA73" s="30">
        <f t="shared" si="184"/>
        <v>0</v>
      </c>
      <c r="BB73" s="39">
        <f t="shared" si="189"/>
        <v>0</v>
      </c>
      <c r="BC73" s="30">
        <f t="shared" si="184"/>
        <v>0</v>
      </c>
      <c r="BD73" s="39">
        <f t="shared" si="189"/>
        <v>0</v>
      </c>
      <c r="BE73" s="30">
        <f t="shared" si="185"/>
        <v>0</v>
      </c>
      <c r="BF73" s="39">
        <f t="shared" si="190"/>
        <v>0</v>
      </c>
      <c r="BG73" s="30">
        <f t="shared" si="185"/>
        <v>0</v>
      </c>
      <c r="BH73" s="39">
        <f t="shared" si="190"/>
        <v>0</v>
      </c>
    </row>
    <row r="74" spans="2:60" x14ac:dyDescent="0.3">
      <c r="B74" s="34"/>
      <c r="C74" s="35" t="s">
        <v>37</v>
      </c>
      <c r="D74" s="36">
        <f t="shared" si="178"/>
        <v>-6.0000000000000027</v>
      </c>
      <c r="E74" s="28">
        <v>0</v>
      </c>
      <c r="F74" s="38">
        <v>0</v>
      </c>
      <c r="G74" s="5">
        <f t="shared" si="114"/>
        <v>0</v>
      </c>
      <c r="H74" s="38">
        <f t="shared" si="175"/>
        <v>0</v>
      </c>
      <c r="I74" s="28">
        <f t="shared" si="188"/>
        <v>0</v>
      </c>
      <c r="J74" s="38">
        <f t="shared" si="176"/>
        <v>0</v>
      </c>
      <c r="K74" s="30">
        <f t="shared" si="121"/>
        <v>0</v>
      </c>
      <c r="L74" s="39">
        <f t="shared" si="183"/>
        <v>0</v>
      </c>
      <c r="M74" s="30">
        <f t="shared" si="121"/>
        <v>0</v>
      </c>
      <c r="N74" s="39">
        <f t="shared" si="191"/>
        <v>0</v>
      </c>
      <c r="O74" s="30">
        <f t="shared" si="121"/>
        <v>0</v>
      </c>
      <c r="P74" s="39">
        <f t="shared" si="191"/>
        <v>0</v>
      </c>
      <c r="Q74" s="30">
        <f t="shared" si="121"/>
        <v>0</v>
      </c>
      <c r="R74" s="39">
        <f t="shared" si="191"/>
        <v>0</v>
      </c>
      <c r="S74" s="30">
        <f t="shared" si="121"/>
        <v>0</v>
      </c>
      <c r="T74" s="39">
        <f t="shared" si="191"/>
        <v>0</v>
      </c>
      <c r="U74" s="30">
        <f t="shared" si="121"/>
        <v>0</v>
      </c>
      <c r="V74" s="39">
        <f t="shared" si="191"/>
        <v>0</v>
      </c>
      <c r="W74" s="30">
        <f t="shared" si="121"/>
        <v>0</v>
      </c>
      <c r="X74" s="39">
        <f t="shared" si="191"/>
        <v>0</v>
      </c>
      <c r="Y74" s="30">
        <f t="shared" si="121"/>
        <v>0</v>
      </c>
      <c r="Z74" s="39">
        <f t="shared" si="191"/>
        <v>0</v>
      </c>
      <c r="AA74" s="30">
        <f t="shared" si="186"/>
        <v>0</v>
      </c>
      <c r="AB74" s="39">
        <f t="shared" si="191"/>
        <v>0</v>
      </c>
      <c r="AC74" s="30">
        <f t="shared" si="187"/>
        <v>0</v>
      </c>
      <c r="AD74" s="39">
        <f t="shared" si="192"/>
        <v>0</v>
      </c>
      <c r="AE74" s="30">
        <f t="shared" si="187"/>
        <v>0</v>
      </c>
      <c r="AF74" s="39">
        <f t="shared" si="192"/>
        <v>0</v>
      </c>
      <c r="AG74" s="30">
        <f t="shared" si="187"/>
        <v>0</v>
      </c>
      <c r="AH74" s="39">
        <f t="shared" si="192"/>
        <v>0</v>
      </c>
      <c r="AI74" s="30">
        <f t="shared" si="187"/>
        <v>0</v>
      </c>
      <c r="AJ74" s="39">
        <f t="shared" si="192"/>
        <v>0</v>
      </c>
      <c r="AK74" s="30">
        <f t="shared" si="187"/>
        <v>0</v>
      </c>
      <c r="AL74" s="39">
        <f t="shared" si="192"/>
        <v>0</v>
      </c>
      <c r="AM74" s="30">
        <f t="shared" si="187"/>
        <v>0</v>
      </c>
      <c r="AN74" s="39">
        <f t="shared" si="192"/>
        <v>0</v>
      </c>
      <c r="AO74" s="30">
        <f t="shared" si="187"/>
        <v>0</v>
      </c>
      <c r="AP74" s="39">
        <f t="shared" si="192"/>
        <v>0</v>
      </c>
      <c r="AQ74" s="30">
        <f t="shared" si="187"/>
        <v>0</v>
      </c>
      <c r="AR74" s="39">
        <f t="shared" si="192"/>
        <v>0</v>
      </c>
      <c r="AS74" s="30">
        <f t="shared" si="184"/>
        <v>0</v>
      </c>
      <c r="AT74" s="39">
        <f t="shared" si="189"/>
        <v>0</v>
      </c>
      <c r="AU74" s="30">
        <f t="shared" si="184"/>
        <v>0</v>
      </c>
      <c r="AV74" s="39">
        <f t="shared" si="189"/>
        <v>0</v>
      </c>
      <c r="AW74" s="30">
        <f t="shared" si="184"/>
        <v>0</v>
      </c>
      <c r="AX74" s="39">
        <f t="shared" si="189"/>
        <v>0</v>
      </c>
      <c r="AY74" s="30">
        <f t="shared" si="184"/>
        <v>0</v>
      </c>
      <c r="AZ74" s="39">
        <f t="shared" si="189"/>
        <v>0</v>
      </c>
      <c r="BA74" s="30">
        <f t="shared" si="184"/>
        <v>0</v>
      </c>
      <c r="BB74" s="39">
        <f t="shared" si="189"/>
        <v>0</v>
      </c>
      <c r="BC74" s="30">
        <f t="shared" si="184"/>
        <v>0</v>
      </c>
      <c r="BD74" s="39">
        <f t="shared" si="189"/>
        <v>0</v>
      </c>
      <c r="BE74" s="30">
        <f t="shared" si="185"/>
        <v>0</v>
      </c>
      <c r="BF74" s="39">
        <f t="shared" si="190"/>
        <v>0</v>
      </c>
      <c r="BG74" s="30">
        <f t="shared" si="185"/>
        <v>0</v>
      </c>
      <c r="BH74" s="39">
        <f t="shared" si="190"/>
        <v>0</v>
      </c>
    </row>
    <row r="75" spans="2:60" x14ac:dyDescent="0.3">
      <c r="B75" s="34"/>
      <c r="C75" s="35" t="s">
        <v>37</v>
      </c>
      <c r="D75" s="36">
        <f t="shared" si="178"/>
        <v>-6.2000000000000028</v>
      </c>
      <c r="E75" s="28">
        <v>0</v>
      </c>
      <c r="F75" s="38">
        <v>0</v>
      </c>
      <c r="G75" s="5">
        <f t="shared" si="114"/>
        <v>0</v>
      </c>
      <c r="H75" s="38">
        <f t="shared" si="175"/>
        <v>0</v>
      </c>
      <c r="I75" s="28">
        <f t="shared" si="188"/>
        <v>0</v>
      </c>
      <c r="J75" s="38">
        <f t="shared" si="176"/>
        <v>0</v>
      </c>
      <c r="K75" s="30">
        <f t="shared" si="121"/>
        <v>0</v>
      </c>
      <c r="L75" s="39">
        <f t="shared" si="183"/>
        <v>0</v>
      </c>
      <c r="M75" s="30">
        <f t="shared" si="121"/>
        <v>0</v>
      </c>
      <c r="N75" s="39">
        <f t="shared" si="191"/>
        <v>0</v>
      </c>
      <c r="O75" s="30">
        <f t="shared" si="121"/>
        <v>0</v>
      </c>
      <c r="P75" s="39">
        <f t="shared" si="191"/>
        <v>0</v>
      </c>
      <c r="Q75" s="30">
        <f t="shared" si="121"/>
        <v>0</v>
      </c>
      <c r="R75" s="39">
        <f t="shared" si="191"/>
        <v>0</v>
      </c>
      <c r="S75" s="30">
        <f t="shared" si="121"/>
        <v>0</v>
      </c>
      <c r="T75" s="39">
        <f t="shared" si="191"/>
        <v>0</v>
      </c>
      <c r="U75" s="30">
        <f t="shared" si="121"/>
        <v>0</v>
      </c>
      <c r="V75" s="39">
        <f t="shared" si="191"/>
        <v>0</v>
      </c>
      <c r="W75" s="30">
        <f t="shared" si="121"/>
        <v>0</v>
      </c>
      <c r="X75" s="39">
        <f t="shared" si="191"/>
        <v>0</v>
      </c>
      <c r="Y75" s="30">
        <f t="shared" si="121"/>
        <v>0</v>
      </c>
      <c r="Z75" s="39">
        <f t="shared" si="191"/>
        <v>0</v>
      </c>
      <c r="AA75" s="30">
        <f t="shared" si="186"/>
        <v>0</v>
      </c>
      <c r="AB75" s="39">
        <f t="shared" si="191"/>
        <v>0</v>
      </c>
      <c r="AC75" s="30">
        <f t="shared" si="187"/>
        <v>0</v>
      </c>
      <c r="AD75" s="39">
        <f t="shared" si="192"/>
        <v>0</v>
      </c>
      <c r="AE75" s="30">
        <f t="shared" si="187"/>
        <v>0</v>
      </c>
      <c r="AF75" s="39">
        <f t="shared" si="192"/>
        <v>0</v>
      </c>
      <c r="AG75" s="30">
        <f t="shared" si="187"/>
        <v>0</v>
      </c>
      <c r="AH75" s="39">
        <f t="shared" si="192"/>
        <v>0</v>
      </c>
      <c r="AI75" s="30">
        <f t="shared" si="187"/>
        <v>0</v>
      </c>
      <c r="AJ75" s="39">
        <f t="shared" si="192"/>
        <v>0</v>
      </c>
      <c r="AK75" s="30">
        <f t="shared" si="187"/>
        <v>0</v>
      </c>
      <c r="AL75" s="39">
        <f t="shared" si="192"/>
        <v>0</v>
      </c>
      <c r="AM75" s="30">
        <f t="shared" si="187"/>
        <v>0</v>
      </c>
      <c r="AN75" s="39">
        <f t="shared" si="192"/>
        <v>0</v>
      </c>
      <c r="AO75" s="30">
        <f t="shared" si="187"/>
        <v>0</v>
      </c>
      <c r="AP75" s="39">
        <f t="shared" si="192"/>
        <v>0</v>
      </c>
      <c r="AQ75" s="30">
        <f t="shared" si="187"/>
        <v>0</v>
      </c>
      <c r="AR75" s="39">
        <f t="shared" si="192"/>
        <v>0</v>
      </c>
      <c r="AS75" s="30">
        <f t="shared" si="184"/>
        <v>0</v>
      </c>
      <c r="AT75" s="39">
        <f t="shared" si="189"/>
        <v>0</v>
      </c>
      <c r="AU75" s="30">
        <f t="shared" si="184"/>
        <v>0</v>
      </c>
      <c r="AV75" s="39">
        <f t="shared" si="189"/>
        <v>0</v>
      </c>
      <c r="AW75" s="30">
        <f t="shared" si="184"/>
        <v>0</v>
      </c>
      <c r="AX75" s="39">
        <f t="shared" si="189"/>
        <v>0</v>
      </c>
      <c r="AY75" s="30">
        <f t="shared" si="184"/>
        <v>0</v>
      </c>
      <c r="AZ75" s="39">
        <f t="shared" si="189"/>
        <v>0</v>
      </c>
      <c r="BA75" s="30">
        <f t="shared" si="184"/>
        <v>0</v>
      </c>
      <c r="BB75" s="39">
        <f t="shared" si="189"/>
        <v>0</v>
      </c>
      <c r="BC75" s="30">
        <f t="shared" si="184"/>
        <v>0</v>
      </c>
      <c r="BD75" s="39">
        <f t="shared" si="189"/>
        <v>0</v>
      </c>
      <c r="BE75" s="30">
        <f t="shared" si="185"/>
        <v>0</v>
      </c>
      <c r="BF75" s="39">
        <f t="shared" si="190"/>
        <v>0</v>
      </c>
      <c r="BG75" s="30">
        <f t="shared" si="185"/>
        <v>0</v>
      </c>
      <c r="BH75" s="39">
        <f t="shared" si="190"/>
        <v>0</v>
      </c>
    </row>
    <row r="76" spans="2:60" x14ac:dyDescent="0.3">
      <c r="B76" s="34"/>
      <c r="C76" s="35" t="s">
        <v>37</v>
      </c>
      <c r="D76" s="36">
        <f t="shared" si="178"/>
        <v>-6.400000000000003</v>
      </c>
      <c r="E76" s="28">
        <v>0</v>
      </c>
      <c r="F76" s="38">
        <v>0</v>
      </c>
      <c r="G76" s="5">
        <f t="shared" si="114"/>
        <v>0</v>
      </c>
      <c r="H76" s="38">
        <f t="shared" si="175"/>
        <v>0</v>
      </c>
      <c r="I76" s="28">
        <f t="shared" si="188"/>
        <v>0</v>
      </c>
      <c r="J76" s="38">
        <f t="shared" si="176"/>
        <v>0</v>
      </c>
      <c r="K76" s="30">
        <f t="shared" si="121"/>
        <v>0</v>
      </c>
      <c r="L76" s="39">
        <f t="shared" si="183"/>
        <v>0</v>
      </c>
      <c r="M76" s="30">
        <f t="shared" si="121"/>
        <v>0</v>
      </c>
      <c r="N76" s="39">
        <f t="shared" si="191"/>
        <v>0</v>
      </c>
      <c r="O76" s="30">
        <f t="shared" si="121"/>
        <v>0</v>
      </c>
      <c r="P76" s="39">
        <f t="shared" si="191"/>
        <v>0</v>
      </c>
      <c r="Q76" s="30">
        <f t="shared" si="121"/>
        <v>0</v>
      </c>
      <c r="R76" s="39">
        <f t="shared" si="191"/>
        <v>0</v>
      </c>
      <c r="S76" s="30">
        <f t="shared" si="121"/>
        <v>0</v>
      </c>
      <c r="T76" s="39">
        <f t="shared" si="191"/>
        <v>0</v>
      </c>
      <c r="U76" s="30">
        <f t="shared" si="121"/>
        <v>0</v>
      </c>
      <c r="V76" s="39">
        <f t="shared" si="191"/>
        <v>0</v>
      </c>
      <c r="W76" s="30">
        <f t="shared" si="121"/>
        <v>0</v>
      </c>
      <c r="X76" s="39">
        <f t="shared" si="191"/>
        <v>0</v>
      </c>
      <c r="Y76" s="30">
        <f t="shared" si="121"/>
        <v>0</v>
      </c>
      <c r="Z76" s="39">
        <f t="shared" si="191"/>
        <v>0</v>
      </c>
      <c r="AA76" s="30">
        <f t="shared" si="186"/>
        <v>0</v>
      </c>
      <c r="AB76" s="39">
        <f t="shared" si="191"/>
        <v>0</v>
      </c>
      <c r="AC76" s="30">
        <f t="shared" si="187"/>
        <v>0</v>
      </c>
      <c r="AD76" s="39">
        <f t="shared" si="192"/>
        <v>0</v>
      </c>
      <c r="AE76" s="30">
        <f t="shared" si="187"/>
        <v>0</v>
      </c>
      <c r="AF76" s="39">
        <f t="shared" si="192"/>
        <v>0</v>
      </c>
      <c r="AG76" s="30">
        <f t="shared" si="187"/>
        <v>0</v>
      </c>
      <c r="AH76" s="39">
        <f t="shared" si="192"/>
        <v>0</v>
      </c>
      <c r="AI76" s="30">
        <f t="shared" si="187"/>
        <v>0</v>
      </c>
      <c r="AJ76" s="39">
        <f t="shared" si="192"/>
        <v>0</v>
      </c>
      <c r="AK76" s="30">
        <f t="shared" si="187"/>
        <v>0</v>
      </c>
      <c r="AL76" s="39">
        <f t="shared" si="192"/>
        <v>0</v>
      </c>
      <c r="AM76" s="30">
        <f t="shared" si="187"/>
        <v>0</v>
      </c>
      <c r="AN76" s="39">
        <f t="shared" si="192"/>
        <v>0</v>
      </c>
      <c r="AO76" s="30">
        <f t="shared" si="187"/>
        <v>0</v>
      </c>
      <c r="AP76" s="39">
        <f t="shared" si="192"/>
        <v>0</v>
      </c>
      <c r="AQ76" s="30">
        <f t="shared" si="187"/>
        <v>0</v>
      </c>
      <c r="AR76" s="39">
        <f t="shared" si="192"/>
        <v>0</v>
      </c>
      <c r="AS76" s="30">
        <f t="shared" si="184"/>
        <v>0</v>
      </c>
      <c r="AT76" s="39">
        <f t="shared" si="189"/>
        <v>0</v>
      </c>
      <c r="AU76" s="30">
        <f t="shared" si="184"/>
        <v>0</v>
      </c>
      <c r="AV76" s="39">
        <f t="shared" si="189"/>
        <v>0</v>
      </c>
      <c r="AW76" s="30">
        <f t="shared" si="184"/>
        <v>0</v>
      </c>
      <c r="AX76" s="39">
        <f t="shared" si="189"/>
        <v>0</v>
      </c>
      <c r="AY76" s="30">
        <f t="shared" si="184"/>
        <v>0</v>
      </c>
      <c r="AZ76" s="39">
        <f t="shared" si="189"/>
        <v>0</v>
      </c>
      <c r="BA76" s="30">
        <f t="shared" si="184"/>
        <v>0</v>
      </c>
      <c r="BB76" s="39">
        <f t="shared" si="189"/>
        <v>0</v>
      </c>
      <c r="BC76" s="30">
        <f t="shared" si="184"/>
        <v>0</v>
      </c>
      <c r="BD76" s="39">
        <f t="shared" si="189"/>
        <v>0</v>
      </c>
      <c r="BE76" s="30">
        <f t="shared" si="185"/>
        <v>0</v>
      </c>
      <c r="BF76" s="39">
        <f t="shared" si="190"/>
        <v>0</v>
      </c>
      <c r="BG76" s="30">
        <f t="shared" si="185"/>
        <v>0</v>
      </c>
      <c r="BH76" s="39">
        <f t="shared" si="190"/>
        <v>0</v>
      </c>
    </row>
    <row r="77" spans="2:60" x14ac:dyDescent="0.3">
      <c r="B77" s="34"/>
      <c r="C77" s="35" t="s">
        <v>37</v>
      </c>
      <c r="D77" s="36">
        <f t="shared" si="178"/>
        <v>-6.6000000000000032</v>
      </c>
      <c r="E77" s="28">
        <v>0</v>
      </c>
      <c r="F77" s="38">
        <v>0</v>
      </c>
      <c r="G77" s="5">
        <f t="shared" si="114"/>
        <v>0</v>
      </c>
      <c r="H77" s="38">
        <f t="shared" si="175"/>
        <v>0</v>
      </c>
      <c r="I77" s="28">
        <f t="shared" si="188"/>
        <v>0</v>
      </c>
      <c r="J77" s="38">
        <f t="shared" si="176"/>
        <v>0</v>
      </c>
      <c r="K77" s="30">
        <f t="shared" si="121"/>
        <v>0</v>
      </c>
      <c r="L77" s="39">
        <f t="shared" si="183"/>
        <v>0</v>
      </c>
      <c r="M77" s="30">
        <f t="shared" si="121"/>
        <v>0</v>
      </c>
      <c r="N77" s="39">
        <f t="shared" si="191"/>
        <v>0</v>
      </c>
      <c r="O77" s="30">
        <f t="shared" si="121"/>
        <v>0</v>
      </c>
      <c r="P77" s="39">
        <f t="shared" si="191"/>
        <v>0</v>
      </c>
      <c r="Q77" s="30">
        <f t="shared" si="121"/>
        <v>0</v>
      </c>
      <c r="R77" s="39">
        <f t="shared" si="191"/>
        <v>0</v>
      </c>
      <c r="S77" s="30">
        <f t="shared" si="121"/>
        <v>0</v>
      </c>
      <c r="T77" s="39">
        <f t="shared" si="191"/>
        <v>0</v>
      </c>
      <c r="U77" s="30">
        <f t="shared" si="121"/>
        <v>0</v>
      </c>
      <c r="V77" s="39">
        <f t="shared" si="191"/>
        <v>0</v>
      </c>
      <c r="W77" s="30">
        <f t="shared" si="121"/>
        <v>0</v>
      </c>
      <c r="X77" s="39">
        <f t="shared" si="191"/>
        <v>0</v>
      </c>
      <c r="Y77" s="30">
        <f t="shared" si="121"/>
        <v>0</v>
      </c>
      <c r="Z77" s="39">
        <f t="shared" si="191"/>
        <v>0</v>
      </c>
      <c r="AA77" s="30">
        <f t="shared" si="186"/>
        <v>0</v>
      </c>
      <c r="AB77" s="39">
        <f t="shared" si="191"/>
        <v>0</v>
      </c>
      <c r="AC77" s="30">
        <f t="shared" si="187"/>
        <v>0</v>
      </c>
      <c r="AD77" s="39">
        <f t="shared" si="192"/>
        <v>0</v>
      </c>
      <c r="AE77" s="30">
        <f t="shared" si="187"/>
        <v>0</v>
      </c>
      <c r="AF77" s="39">
        <f t="shared" si="192"/>
        <v>0</v>
      </c>
      <c r="AG77" s="30">
        <f t="shared" si="187"/>
        <v>0</v>
      </c>
      <c r="AH77" s="39">
        <f t="shared" si="192"/>
        <v>0</v>
      </c>
      <c r="AI77" s="30">
        <f t="shared" si="187"/>
        <v>0</v>
      </c>
      <c r="AJ77" s="39">
        <f t="shared" si="192"/>
        <v>0</v>
      </c>
      <c r="AK77" s="30">
        <f t="shared" si="187"/>
        <v>0</v>
      </c>
      <c r="AL77" s="39">
        <f t="shared" si="192"/>
        <v>0</v>
      </c>
      <c r="AM77" s="30">
        <f t="shared" si="187"/>
        <v>0</v>
      </c>
      <c r="AN77" s="39">
        <f t="shared" si="192"/>
        <v>0</v>
      </c>
      <c r="AO77" s="30">
        <f t="shared" si="187"/>
        <v>0</v>
      </c>
      <c r="AP77" s="39">
        <f t="shared" si="192"/>
        <v>0</v>
      </c>
      <c r="AQ77" s="30">
        <f t="shared" si="187"/>
        <v>0</v>
      </c>
      <c r="AR77" s="39">
        <f t="shared" si="192"/>
        <v>0</v>
      </c>
      <c r="AS77" s="30">
        <f t="shared" si="184"/>
        <v>0</v>
      </c>
      <c r="AT77" s="39">
        <f t="shared" si="189"/>
        <v>0</v>
      </c>
      <c r="AU77" s="30">
        <f t="shared" si="184"/>
        <v>0</v>
      </c>
      <c r="AV77" s="39">
        <f t="shared" si="189"/>
        <v>0</v>
      </c>
      <c r="AW77" s="30">
        <f t="shared" si="184"/>
        <v>0</v>
      </c>
      <c r="AX77" s="39">
        <f t="shared" si="189"/>
        <v>0</v>
      </c>
      <c r="AY77" s="30">
        <f t="shared" si="184"/>
        <v>0</v>
      </c>
      <c r="AZ77" s="39">
        <f t="shared" si="189"/>
        <v>0</v>
      </c>
      <c r="BA77" s="30">
        <f t="shared" si="184"/>
        <v>0</v>
      </c>
      <c r="BB77" s="39">
        <f t="shared" si="189"/>
        <v>0</v>
      </c>
      <c r="BC77" s="30">
        <f t="shared" si="184"/>
        <v>0</v>
      </c>
      <c r="BD77" s="39">
        <f t="shared" si="189"/>
        <v>0</v>
      </c>
      <c r="BE77" s="30">
        <f t="shared" si="185"/>
        <v>0</v>
      </c>
      <c r="BF77" s="39">
        <f t="shared" si="190"/>
        <v>0</v>
      </c>
      <c r="BG77" s="30">
        <f t="shared" si="185"/>
        <v>0</v>
      </c>
      <c r="BH77" s="39">
        <f t="shared" si="190"/>
        <v>0</v>
      </c>
    </row>
    <row r="78" spans="2:60" x14ac:dyDescent="0.3">
      <c r="B78" s="34"/>
      <c r="C78" s="35" t="s">
        <v>37</v>
      </c>
      <c r="D78" s="36">
        <f t="shared" si="178"/>
        <v>-6.8000000000000034</v>
      </c>
      <c r="E78" s="28">
        <v>0</v>
      </c>
      <c r="F78" s="38">
        <v>0</v>
      </c>
      <c r="G78" s="5">
        <f t="shared" si="114"/>
        <v>0</v>
      </c>
      <c r="H78" s="38">
        <f t="shared" si="175"/>
        <v>0</v>
      </c>
      <c r="I78" s="28">
        <f t="shared" si="188"/>
        <v>0</v>
      </c>
      <c r="J78" s="38">
        <f t="shared" si="176"/>
        <v>0</v>
      </c>
      <c r="K78" s="30">
        <f t="shared" si="121"/>
        <v>0</v>
      </c>
      <c r="L78" s="39">
        <f t="shared" si="183"/>
        <v>0</v>
      </c>
      <c r="M78" s="30">
        <f t="shared" si="121"/>
        <v>0</v>
      </c>
      <c r="N78" s="39">
        <f t="shared" si="191"/>
        <v>0</v>
      </c>
      <c r="O78" s="30">
        <f t="shared" si="121"/>
        <v>0</v>
      </c>
      <c r="P78" s="39">
        <f t="shared" si="191"/>
        <v>0</v>
      </c>
      <c r="Q78" s="30">
        <f t="shared" si="121"/>
        <v>0</v>
      </c>
      <c r="R78" s="39">
        <f t="shared" si="191"/>
        <v>0</v>
      </c>
      <c r="S78" s="30">
        <f t="shared" si="121"/>
        <v>0</v>
      </c>
      <c r="T78" s="39">
        <f t="shared" si="191"/>
        <v>0</v>
      </c>
      <c r="U78" s="30">
        <f t="shared" si="121"/>
        <v>0</v>
      </c>
      <c r="V78" s="39">
        <f t="shared" si="191"/>
        <v>0</v>
      </c>
      <c r="W78" s="30">
        <f t="shared" si="121"/>
        <v>0</v>
      </c>
      <c r="X78" s="39">
        <f t="shared" si="191"/>
        <v>0</v>
      </c>
      <c r="Y78" s="30">
        <f t="shared" si="121"/>
        <v>0</v>
      </c>
      <c r="Z78" s="39">
        <f t="shared" si="191"/>
        <v>0</v>
      </c>
      <c r="AA78" s="30">
        <f t="shared" si="186"/>
        <v>0</v>
      </c>
      <c r="AB78" s="39">
        <f t="shared" si="191"/>
        <v>0</v>
      </c>
      <c r="AC78" s="30">
        <f t="shared" si="187"/>
        <v>0</v>
      </c>
      <c r="AD78" s="39">
        <f t="shared" si="192"/>
        <v>0</v>
      </c>
      <c r="AE78" s="30">
        <f t="shared" si="187"/>
        <v>0</v>
      </c>
      <c r="AF78" s="39">
        <f t="shared" si="192"/>
        <v>0</v>
      </c>
      <c r="AG78" s="30">
        <f t="shared" si="187"/>
        <v>0</v>
      </c>
      <c r="AH78" s="39">
        <f t="shared" si="192"/>
        <v>0</v>
      </c>
      <c r="AI78" s="30">
        <f t="shared" si="187"/>
        <v>0</v>
      </c>
      <c r="AJ78" s="39">
        <f t="shared" si="192"/>
        <v>0</v>
      </c>
      <c r="AK78" s="30">
        <f t="shared" si="187"/>
        <v>0</v>
      </c>
      <c r="AL78" s="39">
        <f t="shared" si="192"/>
        <v>0</v>
      </c>
      <c r="AM78" s="30">
        <f t="shared" si="187"/>
        <v>0</v>
      </c>
      <c r="AN78" s="39">
        <f t="shared" si="192"/>
        <v>0</v>
      </c>
      <c r="AO78" s="30">
        <f t="shared" si="187"/>
        <v>0</v>
      </c>
      <c r="AP78" s="39">
        <f t="shared" si="192"/>
        <v>0</v>
      </c>
      <c r="AQ78" s="30">
        <f t="shared" si="187"/>
        <v>0</v>
      </c>
      <c r="AR78" s="39">
        <f t="shared" si="192"/>
        <v>0</v>
      </c>
      <c r="AS78" s="30">
        <f t="shared" si="184"/>
        <v>0</v>
      </c>
      <c r="AT78" s="39">
        <f t="shared" si="189"/>
        <v>0</v>
      </c>
      <c r="AU78" s="30">
        <f t="shared" si="184"/>
        <v>0</v>
      </c>
      <c r="AV78" s="39">
        <f t="shared" si="189"/>
        <v>0</v>
      </c>
      <c r="AW78" s="30">
        <f t="shared" si="184"/>
        <v>0</v>
      </c>
      <c r="AX78" s="39">
        <f t="shared" si="189"/>
        <v>0</v>
      </c>
      <c r="AY78" s="30">
        <f t="shared" si="184"/>
        <v>0</v>
      </c>
      <c r="AZ78" s="39">
        <f t="shared" si="189"/>
        <v>0</v>
      </c>
      <c r="BA78" s="30">
        <f t="shared" si="184"/>
        <v>0</v>
      </c>
      <c r="BB78" s="39">
        <f t="shared" si="189"/>
        <v>0</v>
      </c>
      <c r="BC78" s="30">
        <f t="shared" si="184"/>
        <v>0</v>
      </c>
      <c r="BD78" s="39">
        <f t="shared" si="189"/>
        <v>0</v>
      </c>
      <c r="BE78" s="30">
        <f t="shared" si="185"/>
        <v>0</v>
      </c>
      <c r="BF78" s="39">
        <f t="shared" si="190"/>
        <v>0</v>
      </c>
      <c r="BG78" s="30">
        <f t="shared" si="185"/>
        <v>0</v>
      </c>
      <c r="BH78" s="39">
        <f t="shared" si="190"/>
        <v>0</v>
      </c>
    </row>
    <row r="79" spans="2:60" x14ac:dyDescent="0.3">
      <c r="B79" s="34"/>
      <c r="C79" s="35" t="s">
        <v>37</v>
      </c>
      <c r="D79" s="36">
        <f t="shared" si="178"/>
        <v>-7.0000000000000036</v>
      </c>
      <c r="E79" s="28">
        <v>0</v>
      </c>
      <c r="F79" s="38">
        <v>0</v>
      </c>
      <c r="G79" s="5">
        <f t="shared" si="114"/>
        <v>0</v>
      </c>
      <c r="H79" s="38">
        <f t="shared" si="175"/>
        <v>0</v>
      </c>
      <c r="I79" s="28">
        <f t="shared" si="188"/>
        <v>0</v>
      </c>
      <c r="J79" s="38">
        <f t="shared" si="176"/>
        <v>0</v>
      </c>
      <c r="K79" s="30">
        <f t="shared" si="121"/>
        <v>0</v>
      </c>
      <c r="L79" s="39">
        <f t="shared" si="183"/>
        <v>0</v>
      </c>
      <c r="M79" s="30">
        <f t="shared" si="121"/>
        <v>0</v>
      </c>
      <c r="N79" s="39">
        <f t="shared" si="191"/>
        <v>0</v>
      </c>
      <c r="O79" s="30">
        <f t="shared" si="121"/>
        <v>0</v>
      </c>
      <c r="P79" s="39">
        <f t="shared" si="191"/>
        <v>0</v>
      </c>
      <c r="Q79" s="30">
        <f t="shared" si="121"/>
        <v>0</v>
      </c>
      <c r="R79" s="39">
        <f t="shared" si="191"/>
        <v>0</v>
      </c>
      <c r="S79" s="30">
        <f t="shared" si="121"/>
        <v>0</v>
      </c>
      <c r="T79" s="39">
        <f t="shared" si="191"/>
        <v>0</v>
      </c>
      <c r="U79" s="30">
        <f t="shared" si="121"/>
        <v>0</v>
      </c>
      <c r="V79" s="39">
        <f t="shared" si="191"/>
        <v>0</v>
      </c>
      <c r="W79" s="30">
        <f t="shared" si="121"/>
        <v>0</v>
      </c>
      <c r="X79" s="39">
        <f t="shared" si="191"/>
        <v>0</v>
      </c>
      <c r="Y79" s="30">
        <f t="shared" si="121"/>
        <v>0</v>
      </c>
      <c r="Z79" s="39">
        <f t="shared" si="191"/>
        <v>0</v>
      </c>
      <c r="AA79" s="30">
        <f t="shared" si="186"/>
        <v>0</v>
      </c>
      <c r="AB79" s="39">
        <f t="shared" si="191"/>
        <v>0</v>
      </c>
      <c r="AC79" s="30">
        <f t="shared" si="187"/>
        <v>0</v>
      </c>
      <c r="AD79" s="39">
        <f t="shared" si="192"/>
        <v>0</v>
      </c>
      <c r="AE79" s="30">
        <f t="shared" si="187"/>
        <v>0</v>
      </c>
      <c r="AF79" s="39">
        <f t="shared" si="192"/>
        <v>0</v>
      </c>
      <c r="AG79" s="30">
        <f t="shared" si="187"/>
        <v>0</v>
      </c>
      <c r="AH79" s="39">
        <f t="shared" si="192"/>
        <v>0</v>
      </c>
      <c r="AI79" s="30">
        <f t="shared" si="187"/>
        <v>0</v>
      </c>
      <c r="AJ79" s="39">
        <f t="shared" si="192"/>
        <v>0</v>
      </c>
      <c r="AK79" s="30">
        <f t="shared" si="187"/>
        <v>0</v>
      </c>
      <c r="AL79" s="39">
        <f t="shared" si="192"/>
        <v>0</v>
      </c>
      <c r="AM79" s="30">
        <f t="shared" si="187"/>
        <v>0</v>
      </c>
      <c r="AN79" s="39">
        <f t="shared" si="192"/>
        <v>0</v>
      </c>
      <c r="AO79" s="30">
        <f t="shared" si="187"/>
        <v>0</v>
      </c>
      <c r="AP79" s="39">
        <f t="shared" si="192"/>
        <v>0</v>
      </c>
      <c r="AQ79" s="30">
        <f t="shared" si="187"/>
        <v>0</v>
      </c>
      <c r="AR79" s="39">
        <f t="shared" si="192"/>
        <v>0</v>
      </c>
      <c r="AS79" s="30">
        <f t="shared" si="184"/>
        <v>0</v>
      </c>
      <c r="AT79" s="39">
        <f t="shared" si="189"/>
        <v>0</v>
      </c>
      <c r="AU79" s="30">
        <f t="shared" si="184"/>
        <v>0</v>
      </c>
      <c r="AV79" s="39">
        <f t="shared" si="189"/>
        <v>0</v>
      </c>
      <c r="AW79" s="30">
        <f t="shared" si="184"/>
        <v>0</v>
      </c>
      <c r="AX79" s="39">
        <f t="shared" si="189"/>
        <v>0</v>
      </c>
      <c r="AY79" s="30">
        <f t="shared" si="184"/>
        <v>0</v>
      </c>
      <c r="AZ79" s="39">
        <f t="shared" si="189"/>
        <v>0</v>
      </c>
      <c r="BA79" s="30">
        <f t="shared" si="184"/>
        <v>0</v>
      </c>
      <c r="BB79" s="39">
        <f t="shared" si="189"/>
        <v>0</v>
      </c>
      <c r="BC79" s="30">
        <f t="shared" si="184"/>
        <v>0</v>
      </c>
      <c r="BD79" s="39">
        <f t="shared" si="189"/>
        <v>0</v>
      </c>
      <c r="BE79" s="30">
        <f t="shared" si="185"/>
        <v>0</v>
      </c>
      <c r="BF79" s="39">
        <f t="shared" si="190"/>
        <v>0</v>
      </c>
      <c r="BG79" s="30">
        <f t="shared" si="185"/>
        <v>0</v>
      </c>
      <c r="BH79" s="39">
        <f t="shared" si="190"/>
        <v>0</v>
      </c>
    </row>
    <row r="80" spans="2:60" x14ac:dyDescent="0.3">
      <c r="B80" s="34"/>
      <c r="C80" s="35" t="s">
        <v>37</v>
      </c>
      <c r="D80" s="36">
        <f t="shared" si="178"/>
        <v>-7.2000000000000037</v>
      </c>
      <c r="E80" s="28">
        <v>0</v>
      </c>
      <c r="F80" s="38">
        <v>0</v>
      </c>
      <c r="G80" s="5">
        <f t="shared" si="114"/>
        <v>0</v>
      </c>
      <c r="H80" s="38">
        <f t="shared" si="175"/>
        <v>0</v>
      </c>
      <c r="I80" s="28">
        <f t="shared" si="188"/>
        <v>0</v>
      </c>
      <c r="J80" s="38">
        <f t="shared" si="176"/>
        <v>0</v>
      </c>
      <c r="K80" s="30">
        <f t="shared" si="121"/>
        <v>0</v>
      </c>
      <c r="L80" s="39">
        <f t="shared" si="183"/>
        <v>0</v>
      </c>
      <c r="M80" s="30">
        <f t="shared" si="121"/>
        <v>0</v>
      </c>
      <c r="N80" s="39">
        <f t="shared" si="191"/>
        <v>0</v>
      </c>
      <c r="O80" s="30">
        <f t="shared" si="121"/>
        <v>0</v>
      </c>
      <c r="P80" s="39">
        <f t="shared" si="191"/>
        <v>0</v>
      </c>
      <c r="Q80" s="30">
        <f t="shared" si="121"/>
        <v>0</v>
      </c>
      <c r="R80" s="39">
        <f t="shared" si="191"/>
        <v>0</v>
      </c>
      <c r="S80" s="30">
        <f t="shared" si="121"/>
        <v>0</v>
      </c>
      <c r="T80" s="39">
        <f t="shared" si="191"/>
        <v>0</v>
      </c>
      <c r="U80" s="30">
        <f t="shared" si="121"/>
        <v>0</v>
      </c>
      <c r="V80" s="39">
        <f t="shared" si="191"/>
        <v>0</v>
      </c>
      <c r="W80" s="30">
        <f t="shared" si="121"/>
        <v>0</v>
      </c>
      <c r="X80" s="39">
        <f t="shared" si="191"/>
        <v>0</v>
      </c>
      <c r="Y80" s="30">
        <f t="shared" si="121"/>
        <v>0</v>
      </c>
      <c r="Z80" s="39">
        <f t="shared" si="191"/>
        <v>0</v>
      </c>
      <c r="AA80" s="30">
        <f t="shared" si="186"/>
        <v>0</v>
      </c>
      <c r="AB80" s="39">
        <f t="shared" si="191"/>
        <v>0</v>
      </c>
      <c r="AC80" s="30">
        <f t="shared" si="187"/>
        <v>0</v>
      </c>
      <c r="AD80" s="39">
        <f t="shared" si="192"/>
        <v>0</v>
      </c>
      <c r="AE80" s="30">
        <f t="shared" si="187"/>
        <v>0</v>
      </c>
      <c r="AF80" s="39">
        <f t="shared" si="192"/>
        <v>0</v>
      </c>
      <c r="AG80" s="30">
        <f t="shared" si="187"/>
        <v>0</v>
      </c>
      <c r="AH80" s="39">
        <f t="shared" si="192"/>
        <v>0</v>
      </c>
      <c r="AI80" s="30">
        <f t="shared" si="187"/>
        <v>0</v>
      </c>
      <c r="AJ80" s="39">
        <f t="shared" si="192"/>
        <v>0</v>
      </c>
      <c r="AK80" s="30">
        <f t="shared" si="187"/>
        <v>0</v>
      </c>
      <c r="AL80" s="39">
        <f t="shared" si="192"/>
        <v>0</v>
      </c>
      <c r="AM80" s="30">
        <f t="shared" si="187"/>
        <v>0</v>
      </c>
      <c r="AN80" s="39">
        <f t="shared" si="192"/>
        <v>0</v>
      </c>
      <c r="AO80" s="30">
        <f t="shared" si="187"/>
        <v>0</v>
      </c>
      <c r="AP80" s="39">
        <f t="shared" si="192"/>
        <v>0</v>
      </c>
      <c r="AQ80" s="30">
        <f t="shared" si="187"/>
        <v>0</v>
      </c>
      <c r="AR80" s="39">
        <f t="shared" si="192"/>
        <v>0</v>
      </c>
      <c r="AS80" s="30">
        <f t="shared" ref="AS80:BG90" si="193">(AR81+AR79)/2</f>
        <v>0</v>
      </c>
      <c r="AT80" s="39">
        <f t="shared" si="189"/>
        <v>0</v>
      </c>
      <c r="AU80" s="30">
        <f t="shared" si="193"/>
        <v>0</v>
      </c>
      <c r="AV80" s="39">
        <f t="shared" si="189"/>
        <v>0</v>
      </c>
      <c r="AW80" s="30">
        <f t="shared" si="193"/>
        <v>0</v>
      </c>
      <c r="AX80" s="39">
        <f t="shared" si="189"/>
        <v>0</v>
      </c>
      <c r="AY80" s="30">
        <f t="shared" si="193"/>
        <v>0</v>
      </c>
      <c r="AZ80" s="39">
        <f t="shared" si="189"/>
        <v>0</v>
      </c>
      <c r="BA80" s="30">
        <f t="shared" si="193"/>
        <v>0</v>
      </c>
      <c r="BB80" s="39">
        <f t="shared" si="189"/>
        <v>0</v>
      </c>
      <c r="BC80" s="30">
        <f t="shared" si="193"/>
        <v>0</v>
      </c>
      <c r="BD80" s="39">
        <f t="shared" si="189"/>
        <v>0</v>
      </c>
      <c r="BE80" s="30">
        <f t="shared" si="193"/>
        <v>0</v>
      </c>
      <c r="BF80" s="39">
        <f t="shared" si="190"/>
        <v>0</v>
      </c>
      <c r="BG80" s="30">
        <f t="shared" si="193"/>
        <v>0</v>
      </c>
      <c r="BH80" s="39">
        <f t="shared" si="190"/>
        <v>0</v>
      </c>
    </row>
    <row r="81" spans="2:69" x14ac:dyDescent="0.3">
      <c r="B81" s="34"/>
      <c r="C81" s="35" t="s">
        <v>37</v>
      </c>
      <c r="D81" s="36">
        <f t="shared" si="178"/>
        <v>-7.4000000000000039</v>
      </c>
      <c r="E81" s="28">
        <v>0</v>
      </c>
      <c r="F81" s="38">
        <v>0</v>
      </c>
      <c r="G81" s="5">
        <f t="shared" si="114"/>
        <v>0</v>
      </c>
      <c r="H81" s="38">
        <f t="shared" si="175"/>
        <v>0</v>
      </c>
      <c r="I81" s="28">
        <f t="shared" si="188"/>
        <v>0</v>
      </c>
      <c r="J81" s="38">
        <f t="shared" si="176"/>
        <v>0</v>
      </c>
      <c r="K81" s="30">
        <f t="shared" si="121"/>
        <v>0</v>
      </c>
      <c r="L81" s="39">
        <f t="shared" si="183"/>
        <v>0</v>
      </c>
      <c r="M81" s="30">
        <f t="shared" si="121"/>
        <v>0</v>
      </c>
      <c r="N81" s="39">
        <f t="shared" si="191"/>
        <v>0</v>
      </c>
      <c r="O81" s="30">
        <f t="shared" si="121"/>
        <v>0</v>
      </c>
      <c r="P81" s="39">
        <f t="shared" si="191"/>
        <v>0</v>
      </c>
      <c r="Q81" s="30">
        <f t="shared" si="121"/>
        <v>0</v>
      </c>
      <c r="R81" s="39">
        <f t="shared" si="191"/>
        <v>0</v>
      </c>
      <c r="S81" s="30">
        <f t="shared" si="121"/>
        <v>0</v>
      </c>
      <c r="T81" s="39">
        <f t="shared" si="191"/>
        <v>0</v>
      </c>
      <c r="U81" s="30">
        <f t="shared" si="121"/>
        <v>0</v>
      </c>
      <c r="V81" s="39">
        <f t="shared" si="191"/>
        <v>0</v>
      </c>
      <c r="W81" s="30">
        <f t="shared" si="121"/>
        <v>0</v>
      </c>
      <c r="X81" s="39">
        <f t="shared" si="191"/>
        <v>0</v>
      </c>
      <c r="Y81" s="30">
        <f t="shared" si="121"/>
        <v>0</v>
      </c>
      <c r="Z81" s="39">
        <f t="shared" si="191"/>
        <v>0</v>
      </c>
      <c r="AA81" s="30">
        <f t="shared" ref="AA81:AO91" si="194">(Z82+Z80)/2</f>
        <v>0</v>
      </c>
      <c r="AB81" s="39">
        <f t="shared" si="191"/>
        <v>0</v>
      </c>
      <c r="AC81" s="30">
        <f t="shared" si="194"/>
        <v>0</v>
      </c>
      <c r="AD81" s="39">
        <f t="shared" si="192"/>
        <v>0</v>
      </c>
      <c r="AE81" s="30">
        <f t="shared" si="194"/>
        <v>0</v>
      </c>
      <c r="AF81" s="39">
        <f t="shared" si="192"/>
        <v>0</v>
      </c>
      <c r="AG81" s="30">
        <f t="shared" si="194"/>
        <v>0</v>
      </c>
      <c r="AH81" s="39">
        <f t="shared" si="192"/>
        <v>0</v>
      </c>
      <c r="AI81" s="30">
        <f t="shared" si="194"/>
        <v>0</v>
      </c>
      <c r="AJ81" s="39">
        <f t="shared" si="192"/>
        <v>0</v>
      </c>
      <c r="AK81" s="30">
        <f t="shared" si="194"/>
        <v>0</v>
      </c>
      <c r="AL81" s="39">
        <f t="shared" si="192"/>
        <v>0</v>
      </c>
      <c r="AM81" s="30">
        <f t="shared" si="194"/>
        <v>0</v>
      </c>
      <c r="AN81" s="39">
        <f t="shared" si="192"/>
        <v>0</v>
      </c>
      <c r="AO81" s="30">
        <f t="shared" si="194"/>
        <v>0</v>
      </c>
      <c r="AP81" s="39">
        <f t="shared" si="192"/>
        <v>0</v>
      </c>
      <c r="AQ81" s="30">
        <f t="shared" ref="AQ81:BE91" si="195">(AP82+AP80)/2</f>
        <v>0</v>
      </c>
      <c r="AR81" s="39">
        <f t="shared" si="192"/>
        <v>0</v>
      </c>
      <c r="AS81" s="30">
        <f t="shared" si="195"/>
        <v>0</v>
      </c>
      <c r="AT81" s="39">
        <f t="shared" si="189"/>
        <v>0</v>
      </c>
      <c r="AU81" s="30">
        <f t="shared" si="195"/>
        <v>0</v>
      </c>
      <c r="AV81" s="39">
        <f t="shared" si="189"/>
        <v>0</v>
      </c>
      <c r="AW81" s="30">
        <f t="shared" si="195"/>
        <v>0</v>
      </c>
      <c r="AX81" s="39">
        <f t="shared" si="189"/>
        <v>0</v>
      </c>
      <c r="AY81" s="30">
        <f t="shared" si="195"/>
        <v>0</v>
      </c>
      <c r="AZ81" s="39">
        <f t="shared" si="189"/>
        <v>0</v>
      </c>
      <c r="BA81" s="30">
        <f t="shared" si="195"/>
        <v>0</v>
      </c>
      <c r="BB81" s="39">
        <f t="shared" si="189"/>
        <v>0</v>
      </c>
      <c r="BC81" s="30">
        <f t="shared" si="195"/>
        <v>0</v>
      </c>
      <c r="BD81" s="39">
        <f t="shared" si="189"/>
        <v>0</v>
      </c>
      <c r="BE81" s="30">
        <f t="shared" si="195"/>
        <v>0</v>
      </c>
      <c r="BF81" s="39">
        <f t="shared" si="190"/>
        <v>0</v>
      </c>
      <c r="BG81" s="30">
        <f t="shared" si="193"/>
        <v>0</v>
      </c>
      <c r="BH81" s="39">
        <f t="shared" si="190"/>
        <v>0</v>
      </c>
    </row>
    <row r="82" spans="2:69" x14ac:dyDescent="0.3">
      <c r="B82" s="34"/>
      <c r="C82" s="35" t="s">
        <v>37</v>
      </c>
      <c r="D82" s="36">
        <f t="shared" si="178"/>
        <v>-7.6000000000000041</v>
      </c>
      <c r="E82" s="28">
        <v>0</v>
      </c>
      <c r="F82" s="38">
        <v>0</v>
      </c>
      <c r="G82" s="5">
        <f t="shared" si="114"/>
        <v>0</v>
      </c>
      <c r="H82" s="38">
        <f t="shared" si="175"/>
        <v>0</v>
      </c>
      <c r="I82" s="28">
        <f t="shared" si="188"/>
        <v>0</v>
      </c>
      <c r="J82" s="38">
        <f t="shared" si="176"/>
        <v>0</v>
      </c>
      <c r="K82" s="30">
        <f t="shared" si="121"/>
        <v>0</v>
      </c>
      <c r="L82" s="39">
        <f t="shared" si="183"/>
        <v>0</v>
      </c>
      <c r="M82" s="30">
        <f t="shared" si="121"/>
        <v>0</v>
      </c>
      <c r="N82" s="39">
        <f t="shared" si="191"/>
        <v>0</v>
      </c>
      <c r="O82" s="30">
        <f t="shared" si="121"/>
        <v>0</v>
      </c>
      <c r="P82" s="39">
        <f t="shared" si="191"/>
        <v>0</v>
      </c>
      <c r="Q82" s="30">
        <f t="shared" si="121"/>
        <v>0</v>
      </c>
      <c r="R82" s="39">
        <f t="shared" si="191"/>
        <v>0</v>
      </c>
      <c r="S82" s="30">
        <f t="shared" si="121"/>
        <v>0</v>
      </c>
      <c r="T82" s="39">
        <f t="shared" si="191"/>
        <v>0</v>
      </c>
      <c r="U82" s="30">
        <f t="shared" si="121"/>
        <v>0</v>
      </c>
      <c r="V82" s="39">
        <f t="shared" si="191"/>
        <v>0</v>
      </c>
      <c r="W82" s="30">
        <f t="shared" si="121"/>
        <v>0</v>
      </c>
      <c r="X82" s="39">
        <f t="shared" si="191"/>
        <v>0</v>
      </c>
      <c r="Y82" s="30">
        <f t="shared" si="121"/>
        <v>0</v>
      </c>
      <c r="Z82" s="39">
        <f t="shared" si="191"/>
        <v>0</v>
      </c>
      <c r="AA82" s="30">
        <f t="shared" si="194"/>
        <v>0</v>
      </c>
      <c r="AB82" s="39">
        <f t="shared" si="191"/>
        <v>0</v>
      </c>
      <c r="AC82" s="30">
        <f t="shared" si="194"/>
        <v>0</v>
      </c>
      <c r="AD82" s="39">
        <f t="shared" si="192"/>
        <v>0</v>
      </c>
      <c r="AE82" s="30">
        <f t="shared" si="194"/>
        <v>0</v>
      </c>
      <c r="AF82" s="39">
        <f t="shared" si="192"/>
        <v>0</v>
      </c>
      <c r="AG82" s="30">
        <f t="shared" si="194"/>
        <v>0</v>
      </c>
      <c r="AH82" s="39">
        <f t="shared" si="192"/>
        <v>0</v>
      </c>
      <c r="AI82" s="30">
        <f t="shared" si="194"/>
        <v>0</v>
      </c>
      <c r="AJ82" s="39">
        <f t="shared" si="192"/>
        <v>0</v>
      </c>
      <c r="AK82" s="30">
        <f t="shared" si="194"/>
        <v>0</v>
      </c>
      <c r="AL82" s="39">
        <f t="shared" si="192"/>
        <v>0</v>
      </c>
      <c r="AM82" s="30">
        <f t="shared" si="194"/>
        <v>0</v>
      </c>
      <c r="AN82" s="39">
        <f t="shared" si="192"/>
        <v>0</v>
      </c>
      <c r="AO82" s="30">
        <f t="shared" si="194"/>
        <v>0</v>
      </c>
      <c r="AP82" s="39">
        <f t="shared" si="192"/>
        <v>0</v>
      </c>
      <c r="AQ82" s="30">
        <f t="shared" si="195"/>
        <v>0</v>
      </c>
      <c r="AR82" s="39">
        <f t="shared" si="192"/>
        <v>0</v>
      </c>
      <c r="AS82" s="30">
        <f t="shared" si="195"/>
        <v>0</v>
      </c>
      <c r="AT82" s="39">
        <f t="shared" si="189"/>
        <v>0</v>
      </c>
      <c r="AU82" s="30">
        <f t="shared" si="195"/>
        <v>0</v>
      </c>
      <c r="AV82" s="39">
        <f t="shared" si="189"/>
        <v>0</v>
      </c>
      <c r="AW82" s="30">
        <f t="shared" si="195"/>
        <v>0</v>
      </c>
      <c r="AX82" s="39">
        <f t="shared" si="189"/>
        <v>0</v>
      </c>
      <c r="AY82" s="30">
        <f t="shared" si="195"/>
        <v>0</v>
      </c>
      <c r="AZ82" s="39">
        <f t="shared" si="189"/>
        <v>0</v>
      </c>
      <c r="BA82" s="30">
        <f t="shared" si="195"/>
        <v>0</v>
      </c>
      <c r="BB82" s="39">
        <f t="shared" si="189"/>
        <v>0</v>
      </c>
      <c r="BC82" s="30">
        <f t="shared" si="195"/>
        <v>0</v>
      </c>
      <c r="BD82" s="39">
        <f t="shared" si="189"/>
        <v>0</v>
      </c>
      <c r="BE82" s="30">
        <f t="shared" si="195"/>
        <v>0</v>
      </c>
      <c r="BF82" s="39">
        <f t="shared" si="190"/>
        <v>0</v>
      </c>
      <c r="BG82" s="30">
        <f t="shared" si="193"/>
        <v>0</v>
      </c>
      <c r="BH82" s="39">
        <f t="shared" si="190"/>
        <v>0</v>
      </c>
    </row>
    <row r="83" spans="2:69" x14ac:dyDescent="0.3">
      <c r="B83" s="34"/>
      <c r="C83" s="35" t="s">
        <v>37</v>
      </c>
      <c r="D83" s="36">
        <f t="shared" si="178"/>
        <v>-7.8000000000000043</v>
      </c>
      <c r="E83" s="28">
        <v>0</v>
      </c>
      <c r="F83" s="38">
        <v>0</v>
      </c>
      <c r="G83" s="5">
        <f t="shared" si="114"/>
        <v>0</v>
      </c>
      <c r="H83" s="38">
        <f t="shared" si="175"/>
        <v>0</v>
      </c>
      <c r="I83" s="28">
        <f t="shared" si="188"/>
        <v>0</v>
      </c>
      <c r="J83" s="38">
        <f t="shared" si="176"/>
        <v>0</v>
      </c>
      <c r="K83" s="30">
        <f t="shared" si="121"/>
        <v>0</v>
      </c>
      <c r="L83" s="39">
        <f t="shared" si="183"/>
        <v>0</v>
      </c>
      <c r="M83" s="30">
        <f t="shared" si="121"/>
        <v>0</v>
      </c>
      <c r="N83" s="39">
        <f t="shared" si="191"/>
        <v>0</v>
      </c>
      <c r="O83" s="30">
        <f t="shared" si="121"/>
        <v>0</v>
      </c>
      <c r="P83" s="39">
        <f t="shared" si="191"/>
        <v>0</v>
      </c>
      <c r="Q83" s="30">
        <f t="shared" si="121"/>
        <v>0</v>
      </c>
      <c r="R83" s="39">
        <f t="shared" si="191"/>
        <v>0</v>
      </c>
      <c r="S83" s="30">
        <f t="shared" si="121"/>
        <v>0</v>
      </c>
      <c r="T83" s="39">
        <f t="shared" si="191"/>
        <v>0</v>
      </c>
      <c r="U83" s="30">
        <f t="shared" si="121"/>
        <v>0</v>
      </c>
      <c r="V83" s="39">
        <f t="shared" si="191"/>
        <v>0</v>
      </c>
      <c r="W83" s="30">
        <f t="shared" si="121"/>
        <v>0</v>
      </c>
      <c r="X83" s="39">
        <f t="shared" si="191"/>
        <v>0</v>
      </c>
      <c r="Y83" s="30">
        <f t="shared" si="121"/>
        <v>0</v>
      </c>
      <c r="Z83" s="39">
        <f t="shared" si="191"/>
        <v>0</v>
      </c>
      <c r="AA83" s="30">
        <f t="shared" si="194"/>
        <v>0</v>
      </c>
      <c r="AB83" s="39">
        <f t="shared" si="191"/>
        <v>0</v>
      </c>
      <c r="AC83" s="30">
        <f t="shared" si="194"/>
        <v>0</v>
      </c>
      <c r="AD83" s="39">
        <f t="shared" si="192"/>
        <v>0</v>
      </c>
      <c r="AE83" s="30">
        <f t="shared" si="194"/>
        <v>0</v>
      </c>
      <c r="AF83" s="39">
        <f t="shared" si="192"/>
        <v>0</v>
      </c>
      <c r="AG83" s="30">
        <f t="shared" si="194"/>
        <v>0</v>
      </c>
      <c r="AH83" s="39">
        <f t="shared" si="192"/>
        <v>0</v>
      </c>
      <c r="AI83" s="30">
        <f t="shared" si="194"/>
        <v>0</v>
      </c>
      <c r="AJ83" s="39">
        <f t="shared" si="192"/>
        <v>0</v>
      </c>
      <c r="AK83" s="30">
        <f t="shared" si="194"/>
        <v>0</v>
      </c>
      <c r="AL83" s="39">
        <f t="shared" si="192"/>
        <v>0</v>
      </c>
      <c r="AM83" s="30">
        <f t="shared" si="194"/>
        <v>0</v>
      </c>
      <c r="AN83" s="39">
        <f t="shared" si="192"/>
        <v>0</v>
      </c>
      <c r="AO83" s="30">
        <f t="shared" si="194"/>
        <v>0</v>
      </c>
      <c r="AP83" s="39">
        <f t="shared" si="192"/>
        <v>0</v>
      </c>
      <c r="AQ83" s="30">
        <f t="shared" si="195"/>
        <v>0</v>
      </c>
      <c r="AR83" s="39">
        <f t="shared" si="192"/>
        <v>0</v>
      </c>
      <c r="AS83" s="30">
        <f t="shared" si="195"/>
        <v>0</v>
      </c>
      <c r="AT83" s="39">
        <f t="shared" si="189"/>
        <v>0</v>
      </c>
      <c r="AU83" s="30">
        <f t="shared" si="195"/>
        <v>0</v>
      </c>
      <c r="AV83" s="39">
        <f t="shared" si="189"/>
        <v>0</v>
      </c>
      <c r="AW83" s="30">
        <f t="shared" si="195"/>
        <v>0</v>
      </c>
      <c r="AX83" s="39">
        <f t="shared" si="189"/>
        <v>0</v>
      </c>
      <c r="AY83" s="30">
        <f t="shared" si="195"/>
        <v>0</v>
      </c>
      <c r="AZ83" s="39">
        <f t="shared" si="189"/>
        <v>0</v>
      </c>
      <c r="BA83" s="30">
        <f t="shared" si="195"/>
        <v>0</v>
      </c>
      <c r="BB83" s="39">
        <f t="shared" si="189"/>
        <v>0</v>
      </c>
      <c r="BC83" s="30">
        <f t="shared" si="195"/>
        <v>0</v>
      </c>
      <c r="BD83" s="39">
        <f t="shared" si="189"/>
        <v>0</v>
      </c>
      <c r="BE83" s="30">
        <f t="shared" si="195"/>
        <v>0</v>
      </c>
      <c r="BF83" s="39">
        <f t="shared" si="190"/>
        <v>0</v>
      </c>
      <c r="BG83" s="30">
        <f t="shared" si="193"/>
        <v>0</v>
      </c>
      <c r="BH83" s="39">
        <f t="shared" si="190"/>
        <v>0</v>
      </c>
    </row>
    <row r="84" spans="2:69" x14ac:dyDescent="0.3">
      <c r="B84" s="40"/>
      <c r="C84" s="41" t="s">
        <v>37</v>
      </c>
      <c r="D84" s="36">
        <f t="shared" si="178"/>
        <v>-8.0000000000000036</v>
      </c>
      <c r="E84" s="28">
        <v>0</v>
      </c>
      <c r="F84" s="38">
        <v>0</v>
      </c>
      <c r="G84" s="5">
        <f t="shared" si="114"/>
        <v>0</v>
      </c>
      <c r="H84" s="38">
        <f t="shared" si="175"/>
        <v>0</v>
      </c>
      <c r="I84" s="28">
        <f t="shared" si="188"/>
        <v>0</v>
      </c>
      <c r="J84" s="38">
        <f t="shared" si="176"/>
        <v>0</v>
      </c>
      <c r="K84" s="30">
        <f t="shared" si="121"/>
        <v>0</v>
      </c>
      <c r="L84" s="39">
        <f t="shared" si="183"/>
        <v>0</v>
      </c>
      <c r="M84" s="30">
        <f t="shared" si="121"/>
        <v>0</v>
      </c>
      <c r="N84" s="39">
        <f t="shared" si="191"/>
        <v>0</v>
      </c>
      <c r="O84" s="30">
        <f t="shared" si="121"/>
        <v>0</v>
      </c>
      <c r="P84" s="39">
        <f t="shared" si="191"/>
        <v>0</v>
      </c>
      <c r="Q84" s="30">
        <f t="shared" si="121"/>
        <v>0</v>
      </c>
      <c r="R84" s="39">
        <f t="shared" si="191"/>
        <v>0</v>
      </c>
      <c r="S84" s="30">
        <f t="shared" si="121"/>
        <v>0</v>
      </c>
      <c r="T84" s="39">
        <f t="shared" si="191"/>
        <v>0</v>
      </c>
      <c r="U84" s="30">
        <f t="shared" si="121"/>
        <v>0</v>
      </c>
      <c r="V84" s="39">
        <f t="shared" si="191"/>
        <v>0</v>
      </c>
      <c r="W84" s="30">
        <f t="shared" si="121"/>
        <v>0</v>
      </c>
      <c r="X84" s="39">
        <f t="shared" si="191"/>
        <v>0</v>
      </c>
      <c r="Y84" s="30">
        <f t="shared" si="121"/>
        <v>0</v>
      </c>
      <c r="Z84" s="39">
        <f t="shared" si="191"/>
        <v>0</v>
      </c>
      <c r="AA84" s="30">
        <f t="shared" si="194"/>
        <v>0</v>
      </c>
      <c r="AB84" s="39">
        <f t="shared" si="191"/>
        <v>0</v>
      </c>
      <c r="AC84" s="30">
        <f t="shared" si="194"/>
        <v>0</v>
      </c>
      <c r="AD84" s="39">
        <f t="shared" si="192"/>
        <v>0</v>
      </c>
      <c r="AE84" s="30">
        <f t="shared" si="194"/>
        <v>0</v>
      </c>
      <c r="AF84" s="39">
        <f t="shared" si="192"/>
        <v>0</v>
      </c>
      <c r="AG84" s="30">
        <f t="shared" si="194"/>
        <v>0</v>
      </c>
      <c r="AH84" s="39">
        <f t="shared" si="192"/>
        <v>0</v>
      </c>
      <c r="AI84" s="30">
        <f t="shared" si="194"/>
        <v>0</v>
      </c>
      <c r="AJ84" s="39">
        <f t="shared" si="192"/>
        <v>0</v>
      </c>
      <c r="AK84" s="30">
        <f t="shared" si="194"/>
        <v>0</v>
      </c>
      <c r="AL84" s="39">
        <f t="shared" si="192"/>
        <v>0</v>
      </c>
      <c r="AM84" s="30">
        <f t="shared" si="194"/>
        <v>0</v>
      </c>
      <c r="AN84" s="39">
        <f t="shared" si="192"/>
        <v>0</v>
      </c>
      <c r="AO84" s="30">
        <f t="shared" si="194"/>
        <v>0</v>
      </c>
      <c r="AP84" s="39">
        <f t="shared" si="192"/>
        <v>0</v>
      </c>
      <c r="AQ84" s="30">
        <f t="shared" si="195"/>
        <v>0</v>
      </c>
      <c r="AR84" s="39">
        <f t="shared" si="192"/>
        <v>0</v>
      </c>
      <c r="AS84" s="30">
        <f t="shared" si="195"/>
        <v>0</v>
      </c>
      <c r="AT84" s="39">
        <f t="shared" si="189"/>
        <v>0</v>
      </c>
      <c r="AU84" s="30">
        <f t="shared" si="195"/>
        <v>0</v>
      </c>
      <c r="AV84" s="39">
        <f t="shared" si="189"/>
        <v>0</v>
      </c>
      <c r="AW84" s="30">
        <f t="shared" si="195"/>
        <v>0</v>
      </c>
      <c r="AX84" s="39">
        <f t="shared" si="189"/>
        <v>0</v>
      </c>
      <c r="AY84" s="30">
        <f t="shared" si="195"/>
        <v>0</v>
      </c>
      <c r="AZ84" s="39">
        <f t="shared" si="189"/>
        <v>0</v>
      </c>
      <c r="BA84" s="30">
        <f t="shared" si="195"/>
        <v>0</v>
      </c>
      <c r="BB84" s="39">
        <f t="shared" si="189"/>
        <v>0</v>
      </c>
      <c r="BC84" s="30">
        <f t="shared" si="195"/>
        <v>0</v>
      </c>
      <c r="BD84" s="39">
        <f t="shared" si="189"/>
        <v>0</v>
      </c>
      <c r="BE84" s="30">
        <f t="shared" si="195"/>
        <v>0</v>
      </c>
      <c r="BF84" s="39">
        <f t="shared" si="190"/>
        <v>0</v>
      </c>
      <c r="BG84" s="30">
        <f t="shared" si="193"/>
        <v>0</v>
      </c>
      <c r="BH84" s="39">
        <f t="shared" si="190"/>
        <v>0</v>
      </c>
    </row>
    <row r="88" spans="2:69" ht="18" x14ac:dyDescent="0.35">
      <c r="D88" s="42" t="s">
        <v>38</v>
      </c>
      <c r="E88" s="43">
        <v>1.0000000000000001E-5</v>
      </c>
      <c r="F88" s="43"/>
      <c r="G88" s="43"/>
      <c r="H88" s="43"/>
      <c r="BN88" s="44" t="s">
        <v>39</v>
      </c>
      <c r="BO88" s="44" t="s">
        <v>40</v>
      </c>
      <c r="BP88" s="45" t="s">
        <v>41</v>
      </c>
      <c r="BQ88" s="46"/>
    </row>
    <row r="89" spans="2:69" x14ac:dyDescent="0.3">
      <c r="D89" s="43" t="s">
        <v>42</v>
      </c>
      <c r="E89" s="43">
        <v>20</v>
      </c>
      <c r="F89" s="43" t="s">
        <v>43</v>
      </c>
      <c r="G89" s="43" t="s">
        <v>44</v>
      </c>
      <c r="H89" s="43">
        <f>E89/E91</f>
        <v>2.5</v>
      </c>
      <c r="BN89" s="47">
        <v>1</v>
      </c>
      <c r="BO89" s="47">
        <f>VLOOKUP(BN89,'[1]Stress vs Strain Overtime'!B7:Q35,15,0)</f>
        <v>17547.720763929738</v>
      </c>
      <c r="BP89" s="48">
        <v>18</v>
      </c>
      <c r="BQ89" s="49"/>
    </row>
    <row r="90" spans="2:69" x14ac:dyDescent="0.3">
      <c r="D90" s="43" t="s">
        <v>45</v>
      </c>
      <c r="E90" s="43">
        <v>10</v>
      </c>
      <c r="F90" s="43" t="s">
        <v>43</v>
      </c>
      <c r="G90" s="43" t="s">
        <v>46</v>
      </c>
      <c r="H90" s="43">
        <v>40000</v>
      </c>
      <c r="BN90" s="47">
        <f>'[1]Stress vs Strain Overtime'!B8</f>
        <v>2</v>
      </c>
      <c r="BO90" s="47">
        <f>VLOOKUP(BN90,'[1]Stress vs Strain Overtime'!B8:Q36,15,0)</f>
        <v>21353.972763680202</v>
      </c>
      <c r="BP90" s="48">
        <v>18</v>
      </c>
      <c r="BQ90" s="49"/>
    </row>
    <row r="91" spans="2:69" x14ac:dyDescent="0.3">
      <c r="D91" s="43" t="s">
        <v>47</v>
      </c>
      <c r="E91" s="43">
        <v>8</v>
      </c>
      <c r="F91" s="43" t="s">
        <v>43</v>
      </c>
      <c r="G91" s="43"/>
      <c r="H91" s="43"/>
      <c r="BN91" s="47">
        <f>'[1]Stress vs Strain Overtime'!B9</f>
        <v>3</v>
      </c>
      <c r="BO91" s="47">
        <f>VLOOKUP(BN91,'[1]Stress vs Strain Overtime'!B9:Q37,15,0)</f>
        <v>23294.284046768291</v>
      </c>
      <c r="BP91" s="48">
        <v>18</v>
      </c>
      <c r="BQ91" s="49"/>
    </row>
    <row r="92" spans="2:69" ht="16.2" x14ac:dyDescent="0.3">
      <c r="D92" s="43" t="s">
        <v>48</v>
      </c>
      <c r="E92" s="43">
        <f>E89*E90</f>
        <v>200</v>
      </c>
      <c r="F92" s="43" t="s">
        <v>49</v>
      </c>
      <c r="G92" s="43"/>
      <c r="H92" s="43"/>
      <c r="BN92" s="47">
        <f>'[1]Stress vs Strain Overtime'!B10</f>
        <v>4</v>
      </c>
      <c r="BO92" s="47">
        <f>VLOOKUP(BN92,'[1]Stress vs Strain Overtime'!B10:Q38,15,0)</f>
        <v>24533.819903134925</v>
      </c>
      <c r="BP92" s="48">
        <v>18</v>
      </c>
      <c r="BQ92" s="49"/>
    </row>
    <row r="93" spans="2:69" ht="16.2" x14ac:dyDescent="0.3">
      <c r="D93" s="43" t="s">
        <v>50</v>
      </c>
      <c r="E93" s="43">
        <f>2.5*E92</f>
        <v>500</v>
      </c>
      <c r="F93" s="43" t="s">
        <v>49</v>
      </c>
      <c r="G93" s="43"/>
      <c r="H93" s="43"/>
      <c r="BN93" s="47">
        <f>'[1]Stress vs Strain Overtime'!B11</f>
        <v>5</v>
      </c>
      <c r="BO93" s="47">
        <f>VLOOKUP(BN93,'[1]Stress vs Strain Overtime'!B11:Q39,15,0)</f>
        <v>25417.375804524141</v>
      </c>
      <c r="BP93" s="48">
        <v>18</v>
      </c>
      <c r="BQ93" s="49"/>
    </row>
    <row r="94" spans="2:69" x14ac:dyDescent="0.3">
      <c r="D94" s="43"/>
      <c r="E94" s="43"/>
      <c r="F94" s="43"/>
      <c r="G94" s="43"/>
      <c r="H94" s="43"/>
      <c r="BN94" s="47">
        <f>'[1]Stress vs Strain Overtime'!B12</f>
        <v>6</v>
      </c>
      <c r="BO94" s="47">
        <f>VLOOKUP(BN94,'[1]Stress vs Strain Overtime'!B12:Q40,15,0)</f>
        <v>26089.939893884653</v>
      </c>
      <c r="BP94" s="48">
        <v>18</v>
      </c>
      <c r="BQ94" s="49"/>
    </row>
    <row r="95" spans="2:69" x14ac:dyDescent="0.3">
      <c r="D95" s="43" t="s">
        <v>51</v>
      </c>
      <c r="E95" s="43">
        <f>IF(H89&lt;2.5, (H89-1)/(H89+10), (H89-2)/(H89+1)/2)</f>
        <v>7.1428571428571425E-2</v>
      </c>
      <c r="F95" s="43"/>
      <c r="G95" s="43"/>
      <c r="H95" s="43"/>
      <c r="BN95" s="47">
        <f>'[1]Stress vs Strain Overtime'!B13</f>
        <v>7</v>
      </c>
      <c r="BO95" s="47">
        <f>VLOOKUP(BN95,'[1]Stress vs Strain Overtime'!B13:Q41,15,0)</f>
        <v>26624.923104897403</v>
      </c>
      <c r="BP95" s="48">
        <v>18</v>
      </c>
      <c r="BQ95" s="49"/>
    </row>
    <row r="96" spans="2:69" x14ac:dyDescent="0.3">
      <c r="D96" s="43" t="s">
        <v>52</v>
      </c>
      <c r="E96" s="43">
        <f>1/(1+((E92*BO116)/(E93*H90)))</f>
        <v>0.76792933178941813</v>
      </c>
      <c r="F96" s="43" t="s">
        <v>53</v>
      </c>
      <c r="G96" s="43">
        <f>(E95*E96)</f>
        <v>5.4852095127815581E-2</v>
      </c>
      <c r="H96" s="43"/>
      <c r="BN96" s="47">
        <v>8</v>
      </c>
      <c r="BO96" s="47">
        <f>VLOOKUP(BN96,'[1]Stress vs Strain Overtime'!B14:Q42,15,0)</f>
        <v>27064.135409803963</v>
      </c>
      <c r="BP96" s="48">
        <v>18</v>
      </c>
      <c r="BQ96" s="49"/>
    </row>
    <row r="97" spans="2:69" x14ac:dyDescent="0.3">
      <c r="D97" s="43" t="s">
        <v>54</v>
      </c>
      <c r="E97" s="43">
        <v>1</v>
      </c>
      <c r="F97" s="43"/>
      <c r="G97" s="43"/>
      <c r="H97" s="43"/>
      <c r="AU97" t="s">
        <v>55</v>
      </c>
      <c r="BN97" s="47">
        <f>'[1]Stress vs Strain Overtime'!B15</f>
        <v>9</v>
      </c>
      <c r="BO97" s="47">
        <f>VLOOKUP(BN97,'[1]Stress vs Strain Overtime'!B15:Q43,15,0)</f>
        <v>27433.422510023414</v>
      </c>
      <c r="BP97" s="48">
        <v>18</v>
      </c>
      <c r="BQ97" s="49"/>
    </row>
    <row r="98" spans="2:69" x14ac:dyDescent="0.3">
      <c r="D98" s="43" t="s">
        <v>56</v>
      </c>
      <c r="E98" s="50">
        <f>'[1]Placing Temp'!I22</f>
        <v>10.525436669236857</v>
      </c>
      <c r="F98" s="43"/>
      <c r="G98" s="43"/>
      <c r="H98" s="43"/>
      <c r="BN98" s="47">
        <f>'[1]Stress vs Strain Overtime'!B16</f>
        <v>10</v>
      </c>
      <c r="BO98" s="47">
        <f>VLOOKUP(BN98,'[1]Stress vs Strain Overtime'!B16:Q44,15,0)</f>
        <v>27749.760121675859</v>
      </c>
      <c r="BP98" s="48">
        <v>18</v>
      </c>
      <c r="BQ98" s="49"/>
    </row>
    <row r="99" spans="2:69" x14ac:dyDescent="0.3">
      <c r="BN99" s="47">
        <f>'[1]Stress vs Strain Overtime'!B17</f>
        <v>11</v>
      </c>
      <c r="BO99" s="47">
        <f>VLOOKUP(BN99,'[1]Stress vs Strain Overtime'!B17:Q45,15,0)</f>
        <v>28024.832169981921</v>
      </c>
      <c r="BP99" s="48">
        <v>18</v>
      </c>
      <c r="BQ99" s="49"/>
    </row>
    <row r="100" spans="2:69" x14ac:dyDescent="0.3">
      <c r="B100" t="s">
        <v>57</v>
      </c>
      <c r="BN100" s="47">
        <f>'[1]Stress vs Strain Overtime'!B18</f>
        <v>12</v>
      </c>
      <c r="BO100" s="47">
        <f>VLOOKUP(BN100,'[1]Stress vs Strain Overtime'!B18:Q46,15,0)</f>
        <v>28266.985680624181</v>
      </c>
      <c r="BP100" s="48">
        <v>18</v>
      </c>
      <c r="BQ100" s="49"/>
    </row>
    <row r="101" spans="2:69" x14ac:dyDescent="0.3">
      <c r="B101" s="18" t="s">
        <v>30</v>
      </c>
      <c r="C101" s="18" t="s">
        <v>31</v>
      </c>
      <c r="D101" s="19" t="s">
        <v>25</v>
      </c>
      <c r="E101" s="20">
        <v>0</v>
      </c>
      <c r="F101" s="20">
        <v>1</v>
      </c>
      <c r="G101" s="21">
        <v>2</v>
      </c>
      <c r="H101" s="21"/>
      <c r="I101" s="21">
        <v>3</v>
      </c>
      <c r="J101" s="21"/>
      <c r="K101" s="21">
        <v>4</v>
      </c>
      <c r="L101" s="21"/>
      <c r="M101" s="21">
        <v>5</v>
      </c>
      <c r="N101" s="21"/>
      <c r="O101" s="21">
        <v>6</v>
      </c>
      <c r="P101" s="21"/>
      <c r="Q101" s="21">
        <v>7</v>
      </c>
      <c r="R101" s="21"/>
      <c r="S101" s="51">
        <v>8</v>
      </c>
      <c r="T101" s="52"/>
      <c r="U101" s="51">
        <v>9</v>
      </c>
      <c r="V101" s="52"/>
      <c r="W101" s="21">
        <v>10</v>
      </c>
      <c r="X101" s="21"/>
      <c r="Y101" s="21">
        <v>11</v>
      </c>
      <c r="Z101" s="21"/>
      <c r="AA101" s="21">
        <v>12</v>
      </c>
      <c r="AB101" s="21"/>
      <c r="AC101" s="21">
        <v>13</v>
      </c>
      <c r="AD101" s="21"/>
      <c r="AE101" s="21">
        <v>14</v>
      </c>
      <c r="AF101" s="21"/>
      <c r="AG101" s="21">
        <v>15</v>
      </c>
      <c r="AH101" s="21"/>
      <c r="AI101" s="21">
        <v>16</v>
      </c>
      <c r="AJ101" s="21"/>
      <c r="AK101" s="21">
        <v>17</v>
      </c>
      <c r="AL101" s="21"/>
      <c r="AM101" s="21">
        <v>18</v>
      </c>
      <c r="AN101" s="21"/>
      <c r="AO101" s="21">
        <v>19</v>
      </c>
      <c r="AP101" s="21"/>
      <c r="AQ101" s="21">
        <v>20</v>
      </c>
      <c r="AR101" s="21"/>
      <c r="AS101" s="21">
        <v>21</v>
      </c>
      <c r="AT101" s="21"/>
      <c r="AU101" s="20">
        <v>22</v>
      </c>
      <c r="AV101" s="20"/>
      <c r="AW101" s="21">
        <v>23</v>
      </c>
      <c r="AX101" s="21"/>
      <c r="AY101" s="21">
        <v>24</v>
      </c>
      <c r="AZ101" s="21"/>
      <c r="BA101" s="21">
        <v>25</v>
      </c>
      <c r="BB101" s="21"/>
      <c r="BC101" s="21">
        <v>26</v>
      </c>
      <c r="BD101" s="21"/>
      <c r="BE101" s="21">
        <v>27</v>
      </c>
      <c r="BF101" s="21"/>
      <c r="BG101" s="21">
        <v>28</v>
      </c>
      <c r="BH101" s="21"/>
      <c r="BN101" s="47">
        <f>'[1]Stress vs Strain Overtime'!B19</f>
        <v>13</v>
      </c>
      <c r="BO101" s="47">
        <f>VLOOKUP(BN101,'[1]Stress vs Strain Overtime'!B19:Q47,15,0)</f>
        <v>28482.367878845871</v>
      </c>
      <c r="BP101" s="48">
        <v>18</v>
      </c>
      <c r="BQ101" s="49"/>
    </row>
    <row r="102" spans="2:69" x14ac:dyDescent="0.3">
      <c r="B102" s="18"/>
      <c r="C102" s="18"/>
      <c r="D102" s="18" t="s">
        <v>32</v>
      </c>
      <c r="E102" s="22" t="s">
        <v>33</v>
      </c>
      <c r="F102" s="22">
        <f>F3</f>
        <v>16.385650224215247</v>
      </c>
      <c r="G102" s="22" t="s">
        <v>33</v>
      </c>
      <c r="H102" s="22">
        <f>H3</f>
        <v>3.6412556053811649</v>
      </c>
      <c r="I102" s="22" t="s">
        <v>34</v>
      </c>
      <c r="J102" s="22">
        <f>J3</f>
        <v>4.0053811659192817</v>
      </c>
      <c r="K102" s="22" t="s">
        <v>34</v>
      </c>
      <c r="L102" s="22">
        <f>L3</f>
        <v>1.2744394618834107</v>
      </c>
      <c r="M102" s="22" t="s">
        <v>34</v>
      </c>
      <c r="N102" s="22">
        <f>N3</f>
        <v>1.638565022421524</v>
      </c>
      <c r="O102" s="22" t="s">
        <v>34</v>
      </c>
      <c r="P102" s="22">
        <f>P3</f>
        <v>1.638565022421524</v>
      </c>
      <c r="Q102" s="22" t="s">
        <v>34</v>
      </c>
      <c r="R102" s="22">
        <f>R3</f>
        <v>1.4565022421524674</v>
      </c>
      <c r="S102" s="22" t="s">
        <v>34</v>
      </c>
      <c r="T102" s="22">
        <f>T3</f>
        <v>0.72825112107623013</v>
      </c>
      <c r="U102" s="22" t="s">
        <v>34</v>
      </c>
      <c r="V102" s="22">
        <f>V3</f>
        <v>0.91031390134529033</v>
      </c>
      <c r="W102" s="22" t="s">
        <v>34</v>
      </c>
      <c r="X102" s="22">
        <f>X3</f>
        <v>0.72825112107623369</v>
      </c>
      <c r="Y102" s="22" t="s">
        <v>34</v>
      </c>
      <c r="Z102" s="22">
        <f>Z3</f>
        <v>0.3641255605381204</v>
      </c>
      <c r="AA102" s="22" t="s">
        <v>34</v>
      </c>
      <c r="AB102" s="22">
        <f>AB3</f>
        <v>0.63721973094170181</v>
      </c>
      <c r="AC102" s="22" t="s">
        <v>34</v>
      </c>
      <c r="AD102" s="22">
        <f>AD3</f>
        <v>0.81928251121076556</v>
      </c>
      <c r="AE102" s="22" t="s">
        <v>34</v>
      </c>
      <c r="AF102" s="22">
        <f>AF3</f>
        <v>1.2744394618834036</v>
      </c>
      <c r="AG102" s="22" t="s">
        <v>34</v>
      </c>
      <c r="AH102" s="22">
        <f>AH3</f>
        <v>0.91031390134529033</v>
      </c>
      <c r="AI102" s="22" t="s">
        <v>34</v>
      </c>
      <c r="AJ102" s="22">
        <f>AJ3</f>
        <v>0.54618834080718415</v>
      </c>
      <c r="AK102" s="22" t="s">
        <v>34</v>
      </c>
      <c r="AL102" s="22">
        <f>AL3</f>
        <v>0.36412556053811329</v>
      </c>
      <c r="AM102" s="22" t="s">
        <v>34</v>
      </c>
      <c r="AN102" s="22">
        <f>AN3</f>
        <v>0.54618834080717704</v>
      </c>
      <c r="AO102" s="22" t="s">
        <v>34</v>
      </c>
      <c r="AP102" s="22">
        <f>AP3</f>
        <v>0.18206278026904954</v>
      </c>
      <c r="AQ102" s="22" t="s">
        <v>34</v>
      </c>
      <c r="AR102" s="22">
        <f>AR3</f>
        <v>0.18206278026906375</v>
      </c>
      <c r="AS102" s="22" t="s">
        <v>34</v>
      </c>
      <c r="AT102" s="22">
        <f>AT3</f>
        <v>0.54618834080717704</v>
      </c>
      <c r="AU102" s="22" t="s">
        <v>34</v>
      </c>
      <c r="AV102" s="22">
        <f>AV3</f>
        <v>0.27309417040358142</v>
      </c>
      <c r="AW102" s="22" t="s">
        <v>34</v>
      </c>
      <c r="AX102" s="22">
        <f>AX3</f>
        <v>0.27309417040358852</v>
      </c>
      <c r="AY102" s="22" t="s">
        <v>34</v>
      </c>
      <c r="AZ102" s="22">
        <f>AZ3</f>
        <v>0.18206278026905665</v>
      </c>
      <c r="BA102" s="22" t="s">
        <v>34</v>
      </c>
      <c r="BB102" s="22">
        <f>BB3</f>
        <v>0.18206278026906375</v>
      </c>
      <c r="BC102" s="22" t="s">
        <v>34</v>
      </c>
      <c r="BD102" s="22">
        <f>BD3</f>
        <v>0.18206278026905665</v>
      </c>
      <c r="BE102" s="22" t="s">
        <v>34</v>
      </c>
      <c r="BF102" s="22">
        <f>BF3</f>
        <v>9.103139013452477E-2</v>
      </c>
      <c r="BG102" s="22" t="s">
        <v>34</v>
      </c>
      <c r="BH102" s="22">
        <f>BH3</f>
        <v>9.1031390134531875E-2</v>
      </c>
      <c r="BN102" s="47">
        <f>'[1]Stress vs Strain Overtime'!B20</f>
        <v>14</v>
      </c>
      <c r="BO102" s="47">
        <f>VLOOKUP(BN102,'[1]Stress vs Strain Overtime'!B20:Q48,15,0)</f>
        <v>28675.62192057486</v>
      </c>
      <c r="BP102" s="48">
        <v>18</v>
      </c>
      <c r="BQ102" s="49"/>
    </row>
    <row r="103" spans="2:69" x14ac:dyDescent="0.3">
      <c r="B103" s="18"/>
      <c r="C103" s="18"/>
      <c r="D103" s="18"/>
      <c r="E103" s="22"/>
      <c r="F103" s="22"/>
      <c r="G103" s="22"/>
      <c r="H103" s="22"/>
      <c r="I103" s="22" t="s">
        <v>58</v>
      </c>
      <c r="J103" s="22">
        <f>J4</f>
        <v>4.0053811659192817</v>
      </c>
      <c r="K103" s="22" t="s">
        <v>58</v>
      </c>
      <c r="L103" s="22">
        <f>L4</f>
        <v>1.2744394618834107</v>
      </c>
      <c r="M103" s="22" t="s">
        <v>58</v>
      </c>
      <c r="N103" s="22">
        <f>N4</f>
        <v>1.638565022421524</v>
      </c>
      <c r="O103" s="22" t="s">
        <v>58</v>
      </c>
      <c r="P103" s="22">
        <f>P4</f>
        <v>1.638565022421524</v>
      </c>
      <c r="Q103" s="22" t="s">
        <v>58</v>
      </c>
      <c r="R103" s="22">
        <f>R4</f>
        <v>1.4565022421524674</v>
      </c>
      <c r="S103" s="22" t="s">
        <v>58</v>
      </c>
      <c r="T103" s="22">
        <f>P102</f>
        <v>1.638565022421524</v>
      </c>
      <c r="U103" s="22" t="s">
        <v>58</v>
      </c>
      <c r="V103" s="22">
        <f>R102</f>
        <v>1.4565022421524674</v>
      </c>
      <c r="W103" s="22" t="s">
        <v>58</v>
      </c>
      <c r="X103" s="22">
        <f>T102</f>
        <v>0.72825112107623013</v>
      </c>
      <c r="Y103" s="22" t="s">
        <v>58</v>
      </c>
      <c r="Z103" s="22">
        <f>V102</f>
        <v>0.91031390134529033</v>
      </c>
      <c r="AA103" s="22" t="s">
        <v>58</v>
      </c>
      <c r="AB103" s="22">
        <f>X102</f>
        <v>0.72825112107623369</v>
      </c>
      <c r="AC103" s="22" t="s">
        <v>58</v>
      </c>
      <c r="AD103" s="22">
        <f>Z102</f>
        <v>0.3641255605381204</v>
      </c>
      <c r="AE103" s="22" t="s">
        <v>58</v>
      </c>
      <c r="AF103" s="22">
        <f>AB102</f>
        <v>0.63721973094170181</v>
      </c>
      <c r="AG103" s="22" t="s">
        <v>58</v>
      </c>
      <c r="AH103" s="22">
        <f>AD102</f>
        <v>0.81928251121076556</v>
      </c>
      <c r="AI103" s="22" t="s">
        <v>58</v>
      </c>
      <c r="AJ103" s="22">
        <f>AF102</f>
        <v>1.2744394618834036</v>
      </c>
      <c r="AK103" s="22" t="s">
        <v>58</v>
      </c>
      <c r="AL103" s="22">
        <f>AH102</f>
        <v>0.91031390134529033</v>
      </c>
      <c r="AM103" s="22" t="s">
        <v>58</v>
      </c>
      <c r="AN103" s="22">
        <f>AJ102</f>
        <v>0.54618834080718415</v>
      </c>
      <c r="AO103" s="22" t="s">
        <v>58</v>
      </c>
      <c r="AP103" s="22">
        <f>AL102</f>
        <v>0.36412556053811329</v>
      </c>
      <c r="AQ103" s="22" t="s">
        <v>58</v>
      </c>
      <c r="AR103" s="22">
        <f>AN102</f>
        <v>0.54618834080717704</v>
      </c>
      <c r="AS103" s="22" t="s">
        <v>58</v>
      </c>
      <c r="AT103" s="22">
        <f>AP102</f>
        <v>0.18206278026904954</v>
      </c>
      <c r="AU103" s="22" t="s">
        <v>58</v>
      </c>
      <c r="AV103" s="22">
        <f>AR102</f>
        <v>0.18206278026906375</v>
      </c>
      <c r="AW103" s="22" t="s">
        <v>58</v>
      </c>
      <c r="AX103" s="22">
        <f>AT102</f>
        <v>0.54618834080717704</v>
      </c>
      <c r="AY103" s="22" t="s">
        <v>58</v>
      </c>
      <c r="AZ103" s="22">
        <f>AV102</f>
        <v>0.27309417040358142</v>
      </c>
      <c r="BA103" s="22" t="s">
        <v>58</v>
      </c>
      <c r="BB103" s="22">
        <f>AX102</f>
        <v>0.27309417040358852</v>
      </c>
      <c r="BC103" s="22" t="s">
        <v>58</v>
      </c>
      <c r="BD103" s="22">
        <f>AZ102</f>
        <v>0.18206278026905665</v>
      </c>
      <c r="BE103" s="22" t="s">
        <v>58</v>
      </c>
      <c r="BF103" s="22">
        <f>BB102</f>
        <v>0.18206278026906375</v>
      </c>
      <c r="BG103" s="22" t="s">
        <v>58</v>
      </c>
      <c r="BH103" s="22">
        <f>BD102</f>
        <v>0.18206278026905665</v>
      </c>
      <c r="BN103" s="47">
        <v>15</v>
      </c>
      <c r="BO103" s="47">
        <f>VLOOKUP(BN103,'[1]Stress vs Strain Overtime'!B21:Q49,15,0)</f>
        <v>28850.330720681679</v>
      </c>
      <c r="BP103" s="48">
        <v>18</v>
      </c>
      <c r="BQ103" s="49"/>
    </row>
    <row r="104" spans="2:69" x14ac:dyDescent="0.3">
      <c r="B104" s="23" t="s">
        <v>35</v>
      </c>
      <c r="C104" s="24" t="s">
        <v>36</v>
      </c>
      <c r="D104" s="25">
        <v>8</v>
      </c>
      <c r="E104" s="53"/>
      <c r="F104" s="5">
        <f>$E$95*$E$96*$E$97*$E$88*$BO$89*($E$98+F5-$BP$89)</f>
        <v>-7.1944858265177089E-2</v>
      </c>
      <c r="G104" s="53"/>
      <c r="H104" s="5">
        <f t="shared" ref="H104:H149" si="196">$E$95*$E$96*$E$97*$E$88*VLOOKUP(G$2,$BN$89:$BQ$116,2,0)*($E$98+H5)</f>
        <v>0.12328550755338845</v>
      </c>
      <c r="I104" s="53"/>
      <c r="J104" s="5">
        <f t="shared" ref="J104:J149" si="197">$E$95*$E$96*$E$97*$E$88*VLOOKUP(I$2,$BN$89:$BQ$116,2,0)*($E$98+J5)</f>
        <v>0.13448774443897371</v>
      </c>
      <c r="K104" s="53"/>
      <c r="L104" s="5">
        <f t="shared" ref="L104:L149" si="198">$E$95*$E$96*$E$97*$E$88*VLOOKUP(K$2,$BN$89:$BQ$116,2,0)*($E$98+L5)</f>
        <v>0.14164410868435209</v>
      </c>
      <c r="M104" s="53"/>
      <c r="N104" s="5">
        <f t="shared" ref="N104:N149" si="199">$E$95*$E$96*$E$97*$E$88*VLOOKUP(M$2,$BN$89:$BQ$116,2,0)*($E$98+N5)</f>
        <v>0.14674525023585924</v>
      </c>
      <c r="O104" s="53"/>
      <c r="P104" s="5">
        <f t="shared" ref="P104:P149" si="200">$E$95*$E$96*$E$97*$E$88*VLOOKUP(O$2,$BN$89:$BQ$116,2,0)*($E$98+P5)</f>
        <v>0.15062824690522014</v>
      </c>
      <c r="Q104" s="53"/>
      <c r="R104" s="5">
        <f t="shared" ref="R104:R149" si="201">$E$95*$E$96*$E$97*$E$88*VLOOKUP(Q$2,$BN$89:$BQ$116,2,0)*($E$98+R5)</f>
        <v>0.15371693103122167</v>
      </c>
      <c r="S104" s="53"/>
      <c r="T104" s="5">
        <f t="shared" ref="T104:T149" si="202">$E$95*$E$96*$E$97*$E$88*VLOOKUP(S$2,$BN$89:$BQ$116,2,0)*($E$98+T5)</f>
        <v>0.15625268924976718</v>
      </c>
      <c r="U104" s="53"/>
      <c r="V104" s="5">
        <f t="shared" ref="V104:V149" si="203">$E$95*$E$96*$E$97*$E$88*VLOOKUP(U$2,$BN$89:$BQ$116,2,0)*($E$98+V5)</f>
        <v>0.15838473971584763</v>
      </c>
      <c r="W104" s="53"/>
      <c r="X104" s="5">
        <f t="shared" ref="X104:X149" si="204">$E$95*$E$96*$E$97*$E$88*VLOOKUP(W$2,$BN$89:$BQ$116,2,0)*($E$98+X5)</f>
        <v>0.16021109041144893</v>
      </c>
      <c r="Y104" s="53"/>
      <c r="Z104" s="5">
        <f t="shared" ref="Z104:Z149" si="205">$E$95*$E$96*$E$97*$E$88*VLOOKUP(Y$2,$BN$89:$BQ$116,2,0)*($E$98+Z5)</f>
        <v>0.16179919757373035</v>
      </c>
      <c r="AA104" s="53"/>
      <c r="AB104" s="5">
        <f t="shared" ref="AB104:AB149" si="206">$E$95*$E$96*$E$97*$E$88*VLOOKUP(AA$2,$BN$89:$BQ$116,2,0)*($E$98+AB5)</f>
        <v>0.16319725210886318</v>
      </c>
      <c r="AC104" s="53"/>
      <c r="AD104" s="5">
        <f t="shared" ref="AD104:AD149" si="207">$E$95*$E$96*$E$97*$E$88*VLOOKUP(AC$2,$BN$89:$BQ$116,2,0)*($E$98+AD5)</f>
        <v>0.16444074454559088</v>
      </c>
      <c r="AE104" s="53"/>
      <c r="AF104" s="5">
        <f t="shared" ref="AF104:AF149" si="208">$E$95*$E$96*$E$97*$E$88*VLOOKUP(AE$2,$BN$89:$BQ$116,2,0)*($E$98+AF5)</f>
        <v>0.16555648178497825</v>
      </c>
      <c r="AG104" s="53"/>
      <c r="AH104" s="5">
        <f t="shared" ref="AH104:AH149" si="209">$E$95*$E$96*$E$97*$E$88*VLOOKUP(AG$2,$BN$89:$BQ$116,2,0)*($E$98+AH5)</f>
        <v>0.16656514950847781</v>
      </c>
      <c r="AI104" s="53"/>
      <c r="AJ104" s="5">
        <f t="shared" ref="AJ104:AJ149" si="210">$E$95*$E$96*$E$97*$E$88*VLOOKUP(AI$2,$BN$89:$BQ$116,2,0)*($E$98+AJ5)</f>
        <v>0.16748300517266962</v>
      </c>
      <c r="AK104" s="53"/>
      <c r="AL104" s="5">
        <f t="shared" ref="AL104:AL149" si="211">$E$95*$E$96*$E$97*$E$88*VLOOKUP(AK$2,$BN$89:$BQ$116,2,0)*($E$98+AL5)</f>
        <v>0.16832303054027428</v>
      </c>
      <c r="AM104" s="53"/>
      <c r="AN104" s="5">
        <f t="shared" ref="AN104:AN149" si="212">$E$95*$E$96*$E$97*$E$88*VLOOKUP(AM$2,$BN$89:$BQ$116,2,0)*($E$98+AN5)</f>
        <v>0.16909573680503179</v>
      </c>
      <c r="AO104" s="53"/>
      <c r="AP104" s="5">
        <f t="shared" ref="AP104:AP149" si="213">$E$95*$E$96*$E$97*$E$88*VLOOKUP(AO$2,$BN$89:$BQ$116,2,0)*($E$98+AP5)</f>
        <v>0.16980973984144826</v>
      </c>
      <c r="AQ104" s="53"/>
      <c r="AR104" s="5">
        <f t="shared" ref="AR104:AR149" si="214">$E$95*$E$96*$E$97*$E$88*VLOOKUP(AQ$2,$BN$89:$BQ$116,2,0)*($E$98+AR5)</f>
        <v>0.17047217944354437</v>
      </c>
      <c r="AS104" s="53"/>
      <c r="AT104" s="5">
        <f t="shared" ref="AT104:AT164" si="215">$E$95*$E$96*$E$97*$E$88*VLOOKUP(AS$2,$BN$89:$BQ$116,2,0)*($E$98+AT5)</f>
        <v>0.17108903028709746</v>
      </c>
      <c r="AU104" s="53"/>
      <c r="AV104" s="5">
        <f t="shared" ref="AV104:AV149" si="216">$E$95*$E$96*$E$97*$E$88*VLOOKUP(AU$2,$BN$89:$BQ$116,2,0)*($E$98+AV5)</f>
        <v>0.17166533623452099</v>
      </c>
      <c r="AW104" s="53"/>
      <c r="AX104" s="5">
        <f t="shared" ref="AX104:AX149" si="217">$E$95*$E$96*$E$97*$E$88*VLOOKUP(AW$2,$BN$89:$BQ$116,2,0)*($E$98+AX5)</f>
        <v>0.17220538939258809</v>
      </c>
      <c r="AY104" s="53"/>
      <c r="AZ104" s="5">
        <f t="shared" ref="AZ104:AZ149" si="218">$E$95*$E$96*$E$97*$E$88*VLOOKUP(AY$2,$BN$89:$BQ$116,2,0)*($E$98+AZ5)</f>
        <v>0.17271286870935579</v>
      </c>
      <c r="BA104" s="53"/>
      <c r="BB104" s="5">
        <f t="shared" ref="BB104:BB149" si="219">$E$95*$E$96*$E$97*$E$88*VLOOKUP(BA$2,$BN$89:$BQ$116,2,0)*($E$98+BB5)</f>
        <v>0.17319094850552197</v>
      </c>
      <c r="BC104" s="53"/>
      <c r="BD104" s="5">
        <f t="shared" ref="BD104:BD167" si="220">$E$95*$E$96*$E$97*$E$88*VLOOKUP(BC$2,$BN$89:$BQ$116,2,0)*($E$98+BD5)</f>
        <v>0.17364238436733678</v>
      </c>
      <c r="BE104" s="53"/>
      <c r="BF104" s="5">
        <f t="shared" ref="BF104:BF167" si="221">$E$95*$E$96*$E$97*$E$88*VLOOKUP(BE$2,$BN$89:$BQ$116,2,0)*($E$98+BF5)</f>
        <v>0.1740695817862313</v>
      </c>
      <c r="BG104" s="53"/>
      <c r="BH104" s="5">
        <f t="shared" ref="BH104:BH167" si="222">$E$95*$E$96*$E$97*$E$88*VLOOKUP(BG$2,$BN$89:$BQ$116,2,0)*($E$98+BH5)</f>
        <v>0.17447465150271124</v>
      </c>
      <c r="BN104" s="47">
        <f>'[1]Stress vs Strain Overtime'!B22</f>
        <v>16</v>
      </c>
      <c r="BO104" s="47">
        <f>VLOOKUP(BN104,'[1]Stress vs Strain Overtime'!B22:Q50,15,0)</f>
        <v>29009.310192341425</v>
      </c>
      <c r="BP104" s="48">
        <v>18</v>
      </c>
      <c r="BQ104" s="49"/>
    </row>
    <row r="105" spans="2:69" x14ac:dyDescent="0.3">
      <c r="B105" s="23"/>
      <c r="C105" s="27"/>
      <c r="D105" s="25">
        <f>D104-0.2</f>
        <v>7.8</v>
      </c>
      <c r="E105" s="5"/>
      <c r="F105" s="5">
        <f>$E$95*$E$96*$E$97*$E$88*$BO$89*($E$98+F6-$BP$89)</f>
        <v>8.5771817719368051E-2</v>
      </c>
      <c r="G105" s="5"/>
      <c r="H105" s="5">
        <f t="shared" si="196"/>
        <v>0.2618992956109964</v>
      </c>
      <c r="I105" s="5"/>
      <c r="J105" s="5">
        <f t="shared" si="197"/>
        <v>0.31361203490098699</v>
      </c>
      <c r="K105" s="5"/>
      <c r="L105" s="5">
        <f t="shared" si="198"/>
        <v>0.2929363044005861</v>
      </c>
      <c r="M105" s="5"/>
      <c r="N105" s="5">
        <f t="shared" si="199"/>
        <v>0.31110098943222375</v>
      </c>
      <c r="O105" s="5"/>
      <c r="P105" s="5">
        <f t="shared" si="200"/>
        <v>0.30923674176583721</v>
      </c>
      <c r="Q105" s="5"/>
      <c r="R105" s="5">
        <f t="shared" si="201"/>
        <v>0.31923374155990319</v>
      </c>
      <c r="S105" s="5"/>
      <c r="T105" s="5">
        <f t="shared" si="202"/>
        <v>0.30824108163785768</v>
      </c>
      <c r="U105" s="5"/>
      <c r="V105" s="5">
        <f t="shared" si="203"/>
        <v>0.31424488912925203</v>
      </c>
      <c r="W105" s="5"/>
      <c r="X105" s="5">
        <f t="shared" si="204"/>
        <v>0.30849390500695612</v>
      </c>
      <c r="Y105" s="5"/>
      <c r="Z105" s="5">
        <f t="shared" si="205"/>
        <v>0.30628243895091434</v>
      </c>
      <c r="AA105" s="5"/>
      <c r="AB105" s="5">
        <f t="shared" si="206"/>
        <v>0.30490961687285567</v>
      </c>
      <c r="AC105" s="5"/>
      <c r="AD105" s="5">
        <f t="shared" si="207"/>
        <v>0.31021062616733375</v>
      </c>
      <c r="AE105" s="5"/>
      <c r="AF105" s="5">
        <f t="shared" si="208"/>
        <v>0.31726256846282724</v>
      </c>
      <c r="AG105" s="5"/>
      <c r="AH105" s="5">
        <f t="shared" si="209"/>
        <v>0.31903514287289797</v>
      </c>
      <c r="AI105" s="5"/>
      <c r="AJ105" s="5">
        <f t="shared" si="210"/>
        <v>0.31407525348767823</v>
      </c>
      <c r="AK105" s="5"/>
      <c r="AL105" s="5">
        <f t="shared" si="211"/>
        <v>0.31152025765192853</v>
      </c>
      <c r="AM105" s="5"/>
      <c r="AN105" s="5">
        <f t="shared" si="212"/>
        <v>0.31090258114378089</v>
      </c>
      <c r="AO105" s="5"/>
      <c r="AP105" s="5">
        <f t="shared" si="213"/>
        <v>0.30606034520588765</v>
      </c>
      <c r="AQ105" s="5"/>
      <c r="AR105" s="5">
        <f t="shared" si="214"/>
        <v>0.30219169518358469</v>
      </c>
      <c r="AS105" s="5"/>
      <c r="AT105" s="5">
        <f t="shared" si="215"/>
        <v>0.30636947161220968</v>
      </c>
      <c r="AU105" s="5"/>
      <c r="AV105" s="5">
        <f t="shared" si="216"/>
        <v>0.30200407252724004</v>
      </c>
      <c r="AW105" s="5"/>
      <c r="AX105" s="5">
        <f>$E$95*$E$96*$E$97*$E$88*VLOOKUP(AW$2,$BN$89:$BQ$116,2,0)*($E$98+AX6)</f>
        <v>0.30181339192216056</v>
      </c>
      <c r="AY105" s="5"/>
      <c r="AZ105" s="5">
        <f t="shared" si="218"/>
        <v>0.29801258608673453</v>
      </c>
      <c r="BA105" s="5"/>
      <c r="BB105" s="5">
        <f t="shared" si="219"/>
        <v>0.2972651531118356</v>
      </c>
      <c r="BC105" s="5"/>
      <c r="BD105" s="5">
        <f t="shared" si="220"/>
        <v>0.29478742143045161</v>
      </c>
      <c r="BE105" s="5"/>
      <c r="BF105" s="5">
        <f t="shared" si="221"/>
        <v>0.29284544873186036</v>
      </c>
      <c r="BG105" s="5"/>
      <c r="BH105" s="5">
        <f t="shared" si="222"/>
        <v>0.29013580484470458</v>
      </c>
      <c r="BN105" s="47">
        <f>'[1]Stress vs Strain Overtime'!B23</f>
        <v>17</v>
      </c>
      <c r="BO105" s="47">
        <f>VLOOKUP(BN105,'[1]Stress vs Strain Overtime'!B23:Q51,15,0)</f>
        <v>29154.808874032475</v>
      </c>
      <c r="BP105" s="48">
        <v>18</v>
      </c>
      <c r="BQ105" s="49"/>
    </row>
    <row r="106" spans="2:69" x14ac:dyDescent="0.3">
      <c r="B106" s="23"/>
      <c r="C106" s="27"/>
      <c r="D106" s="25">
        <f t="shared" ref="D106:D143" si="223">D105-0.2</f>
        <v>7.6</v>
      </c>
      <c r="E106" s="5"/>
      <c r="F106" s="5">
        <f>$E$95*$E$96*$E$97*$E$88*$BO$89*($E$98+F7-$BP$89)</f>
        <v>8.5771817719368051E-2</v>
      </c>
      <c r="G106" s="5"/>
      <c r="H106" s="5">
        <f>$E$95*$E$96*$E$97*$E$88*VLOOKUP(G$2,$BN$89:$BQ$116,2,0)*($E$98+H7)</f>
        <v>0.35786268734318655</v>
      </c>
      <c r="I106" s="5"/>
      <c r="J106" s="5">
        <f t="shared" si="197"/>
        <v>0.38921644321287574</v>
      </c>
      <c r="K106" s="5"/>
      <c r="L106" s="5">
        <f t="shared" si="198"/>
        <v>0.41482758758896893</v>
      </c>
      <c r="M106" s="5"/>
      <c r="N106" s="5">
        <f t="shared" si="199"/>
        <v>0.41009517983621163</v>
      </c>
      <c r="O106" s="5"/>
      <c r="P106" s="5">
        <f t="shared" si="200"/>
        <v>0.43332264842270596</v>
      </c>
      <c r="Q106" s="5"/>
      <c r="R106" s="5">
        <f t="shared" si="201"/>
        <v>0.43148936958412443</v>
      </c>
      <c r="S106" s="5"/>
      <c r="T106" s="5">
        <f t="shared" si="202"/>
        <v>0.43674918890014153</v>
      </c>
      <c r="U106" s="5"/>
      <c r="V106" s="5">
        <f t="shared" si="203"/>
        <v>0.429652459252443</v>
      </c>
      <c r="W106" s="5"/>
      <c r="X106" s="5">
        <f t="shared" si="204"/>
        <v>0.43525633447938933</v>
      </c>
      <c r="Y106" s="5"/>
      <c r="Z106" s="5">
        <f t="shared" si="205"/>
        <v>0.42320497727786516</v>
      </c>
      <c r="AA106" s="5"/>
      <c r="AB106" s="5">
        <f t="shared" si="206"/>
        <v>0.42712640050602785</v>
      </c>
      <c r="AC106" s="5"/>
      <c r="AD106" s="5">
        <f t="shared" si="207"/>
        <v>0.42598654495223864</v>
      </c>
      <c r="AE106" s="5"/>
      <c r="AF106" s="5">
        <f t="shared" si="208"/>
        <v>0.44001286364137776</v>
      </c>
      <c r="AG106" s="5"/>
      <c r="AH106" s="5">
        <f t="shared" si="209"/>
        <v>0.44085603683765384</v>
      </c>
      <c r="AI106" s="5"/>
      <c r="AJ106" s="5">
        <f t="shared" si="210"/>
        <v>0.44086010408428566</v>
      </c>
      <c r="AK106" s="5"/>
      <c r="AL106" s="5">
        <f t="shared" si="211"/>
        <v>0.43317139383444664</v>
      </c>
      <c r="AM106" s="5"/>
      <c r="AN106" s="5">
        <f t="shared" si="212"/>
        <v>0.43460131908426541</v>
      </c>
      <c r="AO106" s="5"/>
      <c r="AP106" s="5">
        <f t="shared" si="213"/>
        <v>0.42635053391204386</v>
      </c>
      <c r="AQ106" s="5"/>
      <c r="AR106" s="5">
        <f t="shared" si="214"/>
        <v>0.42236520987833265</v>
      </c>
      <c r="AS106" s="5"/>
      <c r="AT106" s="5">
        <f t="shared" si="215"/>
        <v>0.42201317934075488</v>
      </c>
      <c r="AU106" s="5"/>
      <c r="AV106" s="5">
        <f t="shared" si="216"/>
        <v>0.42116031776278134</v>
      </c>
      <c r="AW106" s="5"/>
      <c r="AX106" s="5">
        <f t="shared" si="217"/>
        <v>0.41611107802753705</v>
      </c>
      <c r="AY106" s="5"/>
      <c r="AZ106" s="5">
        <f t="shared" si="218"/>
        <v>0.41420131386507264</v>
      </c>
      <c r="BA106" s="5"/>
      <c r="BB106" s="5">
        <f t="shared" si="219"/>
        <v>0.40885960709768415</v>
      </c>
      <c r="BC106" s="5"/>
      <c r="BD106" s="5">
        <f t="shared" si="220"/>
        <v>0.40760756115746449</v>
      </c>
      <c r="BE106" s="5"/>
      <c r="BF106" s="5">
        <f t="shared" si="221"/>
        <v>0.40184388548004357</v>
      </c>
      <c r="BG106" s="5"/>
      <c r="BH106" s="5">
        <f t="shared" si="222"/>
        <v>0.39946270766743991</v>
      </c>
      <c r="BN106" s="47">
        <f>'[1]Stress vs Strain Overtime'!B24</f>
        <v>18</v>
      </c>
      <c r="BO106" s="47">
        <f>VLOOKUP(BN106,'[1]Stress vs Strain Overtime'!B24:Q52,15,0)</f>
        <v>29288.647383192296</v>
      </c>
      <c r="BP106" s="48">
        <v>18</v>
      </c>
      <c r="BQ106" s="49"/>
    </row>
    <row r="107" spans="2:69" x14ac:dyDescent="0.3">
      <c r="B107" s="23"/>
      <c r="C107" s="27"/>
      <c r="D107" s="25">
        <f t="shared" si="223"/>
        <v>7.3999999999999995</v>
      </c>
      <c r="E107" s="5"/>
      <c r="F107" s="5">
        <f>$E$95*$E$96*$E$97*$E$88*$BO$89*($E$98+F8-$BP$89)</f>
        <v>8.5771817719368051E-2</v>
      </c>
      <c r="G107" s="5"/>
      <c r="H107" s="5">
        <f t="shared" si="196"/>
        <v>0.35786268734318655</v>
      </c>
      <c r="I107" s="5"/>
      <c r="J107" s="5">
        <f t="shared" si="197"/>
        <v>0.44155795665956793</v>
      </c>
      <c r="K107" s="5"/>
      <c r="L107" s="5">
        <f t="shared" si="198"/>
        <v>0.45464132330376728</v>
      </c>
      <c r="M107" s="5"/>
      <c r="N107" s="5">
        <f t="shared" si="199"/>
        <v>0.48751371335727911</v>
      </c>
      <c r="O107" s="5"/>
      <c r="P107" s="5">
        <f t="shared" si="200"/>
        <v>0.49471423216239047</v>
      </c>
      <c r="Q107" s="5"/>
      <c r="R107" s="5">
        <f t="shared" si="201"/>
        <v>0.51881776710703831</v>
      </c>
      <c r="S107" s="5"/>
      <c r="T107" s="5">
        <f t="shared" si="202"/>
        <v>0.51246888535800383</v>
      </c>
      <c r="U107" s="5"/>
      <c r="V107" s="5">
        <f t="shared" si="203"/>
        <v>0.52442707358951446</v>
      </c>
      <c r="W107" s="5"/>
      <c r="X107" s="5">
        <f t="shared" si="204"/>
        <v>0.51852333768194747</v>
      </c>
      <c r="Y107" s="5"/>
      <c r="Z107" s="5">
        <f t="shared" si="205"/>
        <v>0.52106132515673731</v>
      </c>
      <c r="AA107" s="5"/>
      <c r="AB107" s="5">
        <f t="shared" si="206"/>
        <v>0.51521489024785982</v>
      </c>
      <c r="AC107" s="5"/>
      <c r="AD107" s="5">
        <f t="shared" si="207"/>
        <v>0.52406274793826135</v>
      </c>
      <c r="AE107" s="5"/>
      <c r="AF107" s="5">
        <f t="shared" si="208"/>
        <v>0.53047314456468619</v>
      </c>
      <c r="AG107" s="5"/>
      <c r="AH107" s="5">
        <f t="shared" si="209"/>
        <v>0.54056610882687395</v>
      </c>
      <c r="AI107" s="5"/>
      <c r="AJ107" s="5">
        <f t="shared" si="210"/>
        <v>0.5363559147249749</v>
      </c>
      <c r="AK107" s="5"/>
      <c r="AL107" s="5">
        <f t="shared" si="211"/>
        <v>0.5362411257550791</v>
      </c>
      <c r="AM107" s="5"/>
      <c r="AN107" s="5">
        <f t="shared" si="212"/>
        <v>0.53236327814484807</v>
      </c>
      <c r="AO107" s="5"/>
      <c r="AP107" s="5">
        <f t="shared" si="213"/>
        <v>0.52951299093419424</v>
      </c>
      <c r="AQ107" s="5"/>
      <c r="AR107" s="5">
        <f t="shared" si="214"/>
        <v>0.52109921722315689</v>
      </c>
      <c r="AS107" s="5"/>
      <c r="AT107" s="5">
        <f t="shared" si="215"/>
        <v>0.52424517817594973</v>
      </c>
      <c r="AU107" s="5"/>
      <c r="AV107" s="5">
        <f t="shared" si="216"/>
        <v>0.5187000559512065</v>
      </c>
      <c r="AW107" s="5"/>
      <c r="AX107" s="5">
        <f t="shared" si="217"/>
        <v>0.51819774028601229</v>
      </c>
      <c r="AY107" s="5"/>
      <c r="AZ107" s="5">
        <f t="shared" si="218"/>
        <v>0.51147440928495824</v>
      </c>
      <c r="BA107" s="5"/>
      <c r="BB107" s="5">
        <f t="shared" si="219"/>
        <v>0.50983906183886751</v>
      </c>
      <c r="BC107" s="5"/>
      <c r="BD107" s="5">
        <f t="shared" si="220"/>
        <v>0.50392439485945717</v>
      </c>
      <c r="BE107" s="5"/>
      <c r="BF107" s="5">
        <f t="shared" si="221"/>
        <v>0.50121418576767307</v>
      </c>
      <c r="BG107" s="5"/>
      <c r="BH107" s="5">
        <f t="shared" si="222"/>
        <v>0.49462365712231698</v>
      </c>
      <c r="BN107" s="47">
        <f>'[1]Stress vs Strain Overtime'!B25</f>
        <v>19</v>
      </c>
      <c r="BO107" s="47">
        <f>VLOOKUP(BN107,'[1]Stress vs Strain Overtime'!B25:Q53,15,0)</f>
        <v>29412.318053779592</v>
      </c>
      <c r="BP107" s="48">
        <v>18</v>
      </c>
      <c r="BQ107" s="49"/>
    </row>
    <row r="108" spans="2:69" x14ac:dyDescent="0.3">
      <c r="B108" s="23"/>
      <c r="C108" s="27"/>
      <c r="D108" s="25">
        <f t="shared" si="223"/>
        <v>7.1999999999999993</v>
      </c>
      <c r="E108" s="5"/>
      <c r="F108" s="5">
        <f t="shared" ref="F108:F144" si="224">$E$95*$E$96*$E$97*$E$88*$BO$89*($E$98+F9-$BP$89)</f>
        <v>8.5771817719368051E-2</v>
      </c>
      <c r="G108" s="5"/>
      <c r="H108" s="5">
        <f t="shared" si="196"/>
        <v>0.35786268734318655</v>
      </c>
      <c r="I108" s="5"/>
      <c r="J108" s="5">
        <f t="shared" si="197"/>
        <v>0.44155795665956793</v>
      </c>
      <c r="K108" s="5"/>
      <c r="L108" s="5">
        <f t="shared" si="198"/>
        <v>0.48220467879862777</v>
      </c>
      <c r="M108" s="5"/>
      <c r="N108" s="5">
        <f t="shared" si="199"/>
        <v>0.50813750302477656</v>
      </c>
      <c r="O108" s="5"/>
      <c r="P108" s="5">
        <f t="shared" si="200"/>
        <v>0.54177568494957551</v>
      </c>
      <c r="Q108" s="5"/>
      <c r="R108" s="5">
        <f t="shared" si="201"/>
        <v>0.55554388671229793</v>
      </c>
      <c r="S108" s="5"/>
      <c r="T108" s="5">
        <f t="shared" si="202"/>
        <v>0.57095844452930289</v>
      </c>
      <c r="U108" s="5"/>
      <c r="V108" s="5">
        <f t="shared" si="203"/>
        <v>0.57365508013316047</v>
      </c>
      <c r="W108" s="5"/>
      <c r="X108" s="5">
        <f t="shared" si="204"/>
        <v>0.58555262575140143</v>
      </c>
      <c r="Y108" s="5"/>
      <c r="Z108" s="5">
        <f t="shared" si="205"/>
        <v>0.57880651893354462</v>
      </c>
      <c r="AA108" s="5"/>
      <c r="AB108" s="5">
        <f t="shared" si="206"/>
        <v>0.58766721820038015</v>
      </c>
      <c r="AC108" s="5"/>
      <c r="AD108" s="5">
        <f t="shared" si="207"/>
        <v>0.58798811038923071</v>
      </c>
      <c r="AE108" s="5"/>
      <c r="AF108" s="5">
        <f t="shared" si="208"/>
        <v>0.60593536581919638</v>
      </c>
      <c r="AG108" s="5"/>
      <c r="AH108" s="5">
        <f t="shared" si="209"/>
        <v>0.60869014641383978</v>
      </c>
      <c r="AI108" s="5"/>
      <c r="AJ108" s="5">
        <f t="shared" si="210"/>
        <v>0.61468177760591058</v>
      </c>
      <c r="AK108" s="5"/>
      <c r="AL108" s="5">
        <f t="shared" si="211"/>
        <v>0.60922043421357364</v>
      </c>
      <c r="AM108" s="5"/>
      <c r="AN108" s="5">
        <f t="shared" si="212"/>
        <v>0.61412191499412239</v>
      </c>
      <c r="AO108" s="5"/>
      <c r="AP108" s="5">
        <f t="shared" si="213"/>
        <v>0.6059234739206959</v>
      </c>
      <c r="AQ108" s="5"/>
      <c r="AR108" s="5">
        <f t="shared" si="214"/>
        <v>0.60465251798888364</v>
      </c>
      <c r="AS108" s="5"/>
      <c r="AT108" s="5">
        <f t="shared" si="215"/>
        <v>0.60302603614209671</v>
      </c>
      <c r="AU108" s="5"/>
      <c r="AV108" s="5">
        <f t="shared" si="216"/>
        <v>0.6030768274635766</v>
      </c>
      <c r="AW108" s="5"/>
      <c r="AX108" s="5">
        <f t="shared" si="217"/>
        <v>0.59787461322050184</v>
      </c>
      <c r="AY108" s="5"/>
      <c r="AZ108" s="5">
        <f t="shared" si="218"/>
        <v>0.59668709953165378</v>
      </c>
      <c r="BA108" s="5"/>
      <c r="BB108" s="5">
        <f t="shared" si="219"/>
        <v>0.590377465814794</v>
      </c>
      <c r="BC108" s="5"/>
      <c r="BD108" s="5">
        <f t="shared" si="220"/>
        <v>0.58935711126249901</v>
      </c>
      <c r="BE108" s="5"/>
      <c r="BF108" s="5">
        <f t="shared" si="221"/>
        <v>0.58209578639252624</v>
      </c>
      <c r="BG108" s="5"/>
      <c r="BH108" s="5">
        <f t="shared" si="222"/>
        <v>0.57979131677110052</v>
      </c>
      <c r="BN108" s="47">
        <f>'[1]Stress vs Strain Overtime'!B26</f>
        <v>20</v>
      </c>
      <c r="BO108" s="47">
        <f>VLOOKUP(BN108,'[1]Stress vs Strain Overtime'!B26:Q54,15,0)</f>
        <v>29527.057551563772</v>
      </c>
      <c r="BP108" s="48">
        <v>18</v>
      </c>
      <c r="BQ108" s="49"/>
    </row>
    <row r="109" spans="2:69" x14ac:dyDescent="0.3">
      <c r="B109" s="23"/>
      <c r="C109" s="27"/>
      <c r="D109" s="25">
        <f t="shared" si="223"/>
        <v>6.9999999999999991</v>
      </c>
      <c r="E109" s="5"/>
      <c r="F109" s="5">
        <f t="shared" si="224"/>
        <v>8.5771817719368051E-2</v>
      </c>
      <c r="G109" s="5"/>
      <c r="H109" s="5">
        <f t="shared" si="196"/>
        <v>0.35786268734318655</v>
      </c>
      <c r="I109" s="5"/>
      <c r="J109" s="5">
        <f t="shared" si="197"/>
        <v>0.44155795665956793</v>
      </c>
      <c r="K109" s="5"/>
      <c r="L109" s="5">
        <f t="shared" si="198"/>
        <v>0.48220467879862777</v>
      </c>
      <c r="M109" s="5"/>
      <c r="N109" s="5">
        <f t="shared" si="199"/>
        <v>0.52241551125612096</v>
      </c>
      <c r="O109" s="5"/>
      <c r="P109" s="5">
        <f t="shared" si="200"/>
        <v>0.55236044076676261</v>
      </c>
      <c r="Q109" s="5"/>
      <c r="R109" s="5">
        <f t="shared" si="201"/>
        <v>0.58329620333708698</v>
      </c>
      <c r="S109" s="5"/>
      <c r="T109" s="5">
        <f t="shared" si="202"/>
        <v>0.59236942395157632</v>
      </c>
      <c r="U109" s="5"/>
      <c r="V109" s="5">
        <f t="shared" si="203"/>
        <v>0.61141082080402642</v>
      </c>
      <c r="W109" s="5"/>
      <c r="X109" s="5">
        <f t="shared" si="204"/>
        <v>0.61664243765958493</v>
      </c>
      <c r="Y109" s="5"/>
      <c r="Z109" s="5">
        <f t="shared" si="205"/>
        <v>0.62461347878299989</v>
      </c>
      <c r="AA109" s="5"/>
      <c r="AB109" s="5">
        <f t="shared" si="206"/>
        <v>0.62646265276684443</v>
      </c>
      <c r="AC109" s="5"/>
      <c r="AD109" s="5">
        <f t="shared" si="207"/>
        <v>0.6398192225909326</v>
      </c>
      <c r="AE109" s="5"/>
      <c r="AF109" s="5">
        <f t="shared" si="208"/>
        <v>0.6508980832982233</v>
      </c>
      <c r="AG109" s="5"/>
      <c r="AH109" s="5">
        <f t="shared" si="209"/>
        <v>0.6647733030891424</v>
      </c>
      <c r="AI109" s="5"/>
      <c r="AJ109" s="5">
        <f t="shared" si="210"/>
        <v>0.66441616935428027</v>
      </c>
      <c r="AK109" s="5"/>
      <c r="AL109" s="5">
        <f t="shared" si="211"/>
        <v>0.66892076128241296</v>
      </c>
      <c r="AM109" s="5"/>
      <c r="AN109" s="5">
        <f t="shared" si="212"/>
        <v>0.66853835197012645</v>
      </c>
      <c r="AO109" s="5"/>
      <c r="AP109" s="5">
        <f t="shared" si="213"/>
        <v>0.6692182571618589</v>
      </c>
      <c r="AQ109" s="5"/>
      <c r="AR109" s="5">
        <f t="shared" si="214"/>
        <v>0.66291214762224782</v>
      </c>
      <c r="AS109" s="5"/>
      <c r="AT109" s="5">
        <f t="shared" si="215"/>
        <v>0.66898104970509187</v>
      </c>
      <c r="AU109" s="5"/>
      <c r="AV109" s="5">
        <f t="shared" si="216"/>
        <v>0.66439108601310792</v>
      </c>
      <c r="AW109" s="5"/>
      <c r="AX109" s="5">
        <f t="shared" si="217"/>
        <v>0.6657125734267948</v>
      </c>
      <c r="AY109" s="5"/>
      <c r="AZ109" s="5">
        <f t="shared" si="218"/>
        <v>0.66004617238598651</v>
      </c>
      <c r="BA109" s="5"/>
      <c r="BB109" s="5">
        <f t="shared" si="219"/>
        <v>0.65981922754280031</v>
      </c>
      <c r="BC109" s="5"/>
      <c r="BD109" s="5">
        <f t="shared" si="220"/>
        <v>0.65440648341712393</v>
      </c>
      <c r="BE109" s="5"/>
      <c r="BF109" s="5">
        <f t="shared" si="221"/>
        <v>0.65266534578182467</v>
      </c>
      <c r="BG109" s="5"/>
      <c r="BH109" s="5">
        <f t="shared" si="222"/>
        <v>0.64607569072134452</v>
      </c>
      <c r="BN109" s="47">
        <f>'[1]Stress vs Strain Overtime'!B27</f>
        <v>21</v>
      </c>
      <c r="BO109" s="47">
        <f>VLOOKUP(BN109,'[1]Stress vs Strain Overtime'!B27:Q55,15,0)</f>
        <v>29633.900735112988</v>
      </c>
      <c r="BP109" s="48">
        <v>18</v>
      </c>
      <c r="BQ109" s="49"/>
    </row>
    <row r="110" spans="2:69" x14ac:dyDescent="0.3">
      <c r="B110" s="23"/>
      <c r="C110" s="27"/>
      <c r="D110" s="25">
        <f t="shared" si="223"/>
        <v>6.7999999999999989</v>
      </c>
      <c r="E110" s="5"/>
      <c r="F110" s="5">
        <f t="shared" si="224"/>
        <v>8.5771817719368051E-2</v>
      </c>
      <c r="G110" s="5"/>
      <c r="H110" s="5">
        <f t="shared" si="196"/>
        <v>0.35786268734318655</v>
      </c>
      <c r="I110" s="5"/>
      <c r="J110" s="5">
        <f t="shared" si="197"/>
        <v>0.44155795665956793</v>
      </c>
      <c r="K110" s="5"/>
      <c r="L110" s="5">
        <f t="shared" si="198"/>
        <v>0.48220467879862777</v>
      </c>
      <c r="M110" s="5"/>
      <c r="N110" s="5">
        <f t="shared" si="199"/>
        <v>0.52241551125612096</v>
      </c>
      <c r="O110" s="5"/>
      <c r="P110" s="5">
        <f t="shared" si="200"/>
        <v>0.55968834864019967</v>
      </c>
      <c r="Q110" s="5"/>
      <c r="R110" s="5">
        <f t="shared" si="201"/>
        <v>0.58869710327903679</v>
      </c>
      <c r="S110" s="5"/>
      <c r="T110" s="5">
        <f t="shared" si="202"/>
        <v>0.60837487010747693</v>
      </c>
      <c r="U110" s="5"/>
      <c r="V110" s="5">
        <f t="shared" si="203"/>
        <v>0.62365361199662006</v>
      </c>
      <c r="W110" s="5"/>
      <c r="X110" s="5">
        <f t="shared" si="204"/>
        <v>0.64032785146707294</v>
      </c>
      <c r="Y110" s="5"/>
      <c r="Z110" s="5">
        <f t="shared" si="205"/>
        <v>0.64379445994191853</v>
      </c>
      <c r="AA110" s="5"/>
      <c r="AB110" s="5">
        <f t="shared" si="206"/>
        <v>0.65688866081843722</v>
      </c>
      <c r="AC110" s="5"/>
      <c r="AD110" s="5">
        <f t="shared" si="207"/>
        <v>0.66521325928794783</v>
      </c>
      <c r="AE110" s="5"/>
      <c r="AF110" s="5">
        <f t="shared" si="208"/>
        <v>0.68692293042455999</v>
      </c>
      <c r="AG110" s="5"/>
      <c r="AH110" s="5">
        <f t="shared" si="209"/>
        <v>0.6955729310853187</v>
      </c>
      <c r="AI110" s="5"/>
      <c r="AJ110" s="5">
        <f t="shared" si="210"/>
        <v>0.70489508506112208</v>
      </c>
      <c r="AK110" s="5"/>
      <c r="AL110" s="5">
        <f t="shared" si="211"/>
        <v>0.70427699996507254</v>
      </c>
      <c r="AM110" s="5"/>
      <c r="AN110" s="5">
        <f t="shared" si="212"/>
        <v>0.71283700745370082</v>
      </c>
      <c r="AO110" s="5"/>
      <c r="AP110" s="5">
        <f t="shared" si="213"/>
        <v>0.70887425004952742</v>
      </c>
      <c r="AQ110" s="5"/>
      <c r="AR110" s="5">
        <f t="shared" si="214"/>
        <v>0.71079328059485058</v>
      </c>
      <c r="AS110" s="5"/>
      <c r="AT110" s="5">
        <f t="shared" si="215"/>
        <v>0.71241702675193153</v>
      </c>
      <c r="AU110" s="5"/>
      <c r="AV110" s="5">
        <f t="shared" si="216"/>
        <v>0.71526474178821942</v>
      </c>
      <c r="AW110" s="5"/>
      <c r="AX110" s="5">
        <f t="shared" si="217"/>
        <v>0.71238151240507697</v>
      </c>
      <c r="AY110" s="5"/>
      <c r="AZ110" s="5">
        <f t="shared" si="218"/>
        <v>0.71333362870893813</v>
      </c>
      <c r="BA110" s="5"/>
      <c r="BB110" s="5">
        <f t="shared" si="219"/>
        <v>0.70904133686776583</v>
      </c>
      <c r="BC110" s="5"/>
      <c r="BD110" s="5">
        <f t="shared" si="220"/>
        <v>0.70976650553124254</v>
      </c>
      <c r="BE110" s="5"/>
      <c r="BF110" s="5">
        <f t="shared" si="221"/>
        <v>0.70404471433623173</v>
      </c>
      <c r="BG110" s="5"/>
      <c r="BH110" s="5">
        <f t="shared" si="222"/>
        <v>0.70311999094468369</v>
      </c>
      <c r="BN110" s="47">
        <v>22</v>
      </c>
      <c r="BO110" s="47">
        <f>VLOOKUP(BN110,'[1]Stress vs Strain Overtime'!B28:Q56,15,0)</f>
        <v>29733.721239153176</v>
      </c>
      <c r="BP110" s="48">
        <v>18</v>
      </c>
      <c r="BQ110" s="49"/>
    </row>
    <row r="111" spans="2:69" x14ac:dyDescent="0.3">
      <c r="B111" s="23"/>
      <c r="C111" s="27"/>
      <c r="D111" s="25">
        <f t="shared" si="223"/>
        <v>6.5999999999999988</v>
      </c>
      <c r="E111" s="5"/>
      <c r="F111" s="5">
        <f t="shared" si="224"/>
        <v>8.5771817719368051E-2</v>
      </c>
      <c r="G111" s="5"/>
      <c r="H111" s="5">
        <f t="shared" si="196"/>
        <v>0.35786268734318655</v>
      </c>
      <c r="I111" s="5"/>
      <c r="J111" s="5">
        <f t="shared" si="197"/>
        <v>0.44155795665956793</v>
      </c>
      <c r="K111" s="5"/>
      <c r="L111" s="5">
        <f t="shared" si="198"/>
        <v>0.48220467879862777</v>
      </c>
      <c r="M111" s="5"/>
      <c r="N111" s="5">
        <f t="shared" si="199"/>
        <v>0.52241551125612096</v>
      </c>
      <c r="O111" s="5"/>
      <c r="P111" s="5">
        <f t="shared" si="200"/>
        <v>0.55968834864019967</v>
      </c>
      <c r="Q111" s="5"/>
      <c r="R111" s="5">
        <f t="shared" si="201"/>
        <v>0.59243618785423291</v>
      </c>
      <c r="S111" s="5"/>
      <c r="T111" s="5">
        <f t="shared" si="202"/>
        <v>0.6111198674693068</v>
      </c>
      <c r="U111" s="5"/>
      <c r="V111" s="5">
        <f t="shared" si="203"/>
        <v>0.63272868798553572</v>
      </c>
      <c r="W111" s="5"/>
      <c r="X111" s="5">
        <f t="shared" si="204"/>
        <v>0.64722346782693108</v>
      </c>
      <c r="Y111" s="5"/>
      <c r="Z111" s="5">
        <f t="shared" si="205"/>
        <v>0.65831821797533185</v>
      </c>
      <c r="AA111" s="5"/>
      <c r="AB111" s="5">
        <f t="shared" si="206"/>
        <v>0.66849724285207468</v>
      </c>
      <c r="AC111" s="5"/>
      <c r="AD111" s="5">
        <f t="shared" si="207"/>
        <v>0.68494627577182432</v>
      </c>
      <c r="AE111" s="5"/>
      <c r="AF111" s="5">
        <f t="shared" si="208"/>
        <v>0.70318644263859997</v>
      </c>
      <c r="AG111" s="5"/>
      <c r="AH111" s="5">
        <f t="shared" si="209"/>
        <v>0.72000393332064683</v>
      </c>
      <c r="AI111" s="5"/>
      <c r="AJ111" s="5">
        <f t="shared" si="210"/>
        <v>0.7255202761597016</v>
      </c>
      <c r="AK111" s="5"/>
      <c r="AL111" s="5">
        <f t="shared" si="211"/>
        <v>0.73276912624533375</v>
      </c>
      <c r="AM111" s="5"/>
      <c r="AN111" s="5">
        <f t="shared" si="212"/>
        <v>0.7373990712673042</v>
      </c>
      <c r="AO111" s="5"/>
      <c r="AP111" s="5">
        <f t="shared" si="213"/>
        <v>0.74096960917566068</v>
      </c>
      <c r="AQ111" s="5"/>
      <c r="AR111" s="5">
        <f t="shared" si="214"/>
        <v>0.7390923936349254</v>
      </c>
      <c r="AS111" s="5"/>
      <c r="AT111" s="5">
        <f t="shared" si="215"/>
        <v>0.74786774395140732</v>
      </c>
      <c r="AU111" s="5"/>
      <c r="AV111" s="5">
        <f t="shared" si="216"/>
        <v>0.74699564436487009</v>
      </c>
      <c r="AW111" s="5"/>
      <c r="AX111" s="5">
        <f t="shared" si="217"/>
        <v>0.75080531757165359</v>
      </c>
      <c r="AY111" s="5"/>
      <c r="AZ111" s="5">
        <f t="shared" si="218"/>
        <v>0.74814702709283887</v>
      </c>
      <c r="BA111" s="5"/>
      <c r="BB111" s="5">
        <f t="shared" si="219"/>
        <v>0.75003176914773784</v>
      </c>
      <c r="BC111" s="5"/>
      <c r="BD111" s="5">
        <f t="shared" si="220"/>
        <v>0.74722368244194182</v>
      </c>
      <c r="BE111" s="5"/>
      <c r="BF111" s="5">
        <f t="shared" si="221"/>
        <v>0.74729888117470078</v>
      </c>
      <c r="BG111" s="5"/>
      <c r="BH111" s="5">
        <f t="shared" si="222"/>
        <v>0.7428914929707966</v>
      </c>
      <c r="BN111" s="47">
        <f>'[1]Stress vs Strain Overtime'!B29</f>
        <v>23</v>
      </c>
      <c r="BO111" s="47">
        <f>VLOOKUP(BN111,'[1]Stress vs Strain Overtime'!B29:Q57,15,0)</f>
        <v>29827.262488706048</v>
      </c>
      <c r="BP111" s="48">
        <v>18</v>
      </c>
      <c r="BQ111" s="49"/>
    </row>
    <row r="112" spans="2:69" x14ac:dyDescent="0.3">
      <c r="B112" s="23"/>
      <c r="C112" s="27"/>
      <c r="D112" s="25">
        <f t="shared" si="223"/>
        <v>6.3999999999999986</v>
      </c>
      <c r="E112" s="5"/>
      <c r="F112" s="5">
        <f t="shared" si="224"/>
        <v>8.5771817719368051E-2</v>
      </c>
      <c r="G112" s="5"/>
      <c r="H112" s="5">
        <f t="shared" si="196"/>
        <v>0.35786268734318655</v>
      </c>
      <c r="I112" s="5"/>
      <c r="J112" s="5">
        <f t="shared" si="197"/>
        <v>0.44155795665956793</v>
      </c>
      <c r="K112" s="5"/>
      <c r="L112" s="5">
        <f t="shared" si="198"/>
        <v>0.48220467879862777</v>
      </c>
      <c r="M112" s="5"/>
      <c r="N112" s="5">
        <f t="shared" si="199"/>
        <v>0.52241551125612096</v>
      </c>
      <c r="O112" s="5"/>
      <c r="P112" s="5">
        <f t="shared" si="200"/>
        <v>0.55968834864019967</v>
      </c>
      <c r="Q112" s="5"/>
      <c r="R112" s="5">
        <f t="shared" si="201"/>
        <v>0.59243618785423291</v>
      </c>
      <c r="S112" s="5"/>
      <c r="T112" s="5">
        <f t="shared" si="202"/>
        <v>0.61302025025826601</v>
      </c>
      <c r="U112" s="5"/>
      <c r="V112" s="5">
        <f t="shared" si="203"/>
        <v>0.63411991425742131</v>
      </c>
      <c r="W112" s="5"/>
      <c r="X112" s="5">
        <f t="shared" si="204"/>
        <v>0.6523004600918817</v>
      </c>
      <c r="Y112" s="5"/>
      <c r="Z112" s="5">
        <f t="shared" si="205"/>
        <v>0.66215550745198071</v>
      </c>
      <c r="AA112" s="5"/>
      <c r="AB112" s="5">
        <f t="shared" si="206"/>
        <v>0.67723882766059185</v>
      </c>
      <c r="AC112" s="5"/>
      <c r="AD112" s="5">
        <f t="shared" si="207"/>
        <v>0.69186005364743908</v>
      </c>
      <c r="AE112" s="5"/>
      <c r="AF112" s="5">
        <f t="shared" si="208"/>
        <v>0.71572770659249274</v>
      </c>
      <c r="AG112" s="5"/>
      <c r="AH112" s="5">
        <f t="shared" si="209"/>
        <v>0.73022862340897121</v>
      </c>
      <c r="AI112" s="5"/>
      <c r="AJ112" s="5">
        <f t="shared" si="210"/>
        <v>0.74174122995806779</v>
      </c>
      <c r="AK112" s="5"/>
      <c r="AL112" s="5">
        <f t="shared" si="211"/>
        <v>0.74631253572111655</v>
      </c>
      <c r="AM112" s="5"/>
      <c r="AN112" s="5">
        <f t="shared" si="212"/>
        <v>0.75702122980208952</v>
      </c>
      <c r="AO112" s="5"/>
      <c r="AP112" s="5">
        <f t="shared" si="213"/>
        <v>0.75769190673708309</v>
      </c>
      <c r="AQ112" s="5"/>
      <c r="AR112" s="5">
        <f t="shared" si="214"/>
        <v>0.76185706435517475</v>
      </c>
      <c r="AS112" s="5"/>
      <c r="AT112" s="5">
        <f t="shared" si="215"/>
        <v>0.76768052138295473</v>
      </c>
      <c r="AU112" s="5"/>
      <c r="AV112" s="5">
        <f t="shared" si="216"/>
        <v>0.77272859720515674</v>
      </c>
      <c r="AW112" s="5"/>
      <c r="AX112" s="5">
        <f t="shared" si="217"/>
        <v>0.77355859211548617</v>
      </c>
      <c r="AY112" s="5"/>
      <c r="AZ112" s="5">
        <f t="shared" si="218"/>
        <v>0.77661413369365129</v>
      </c>
      <c r="BA112" s="5"/>
      <c r="BB112" s="5">
        <f t="shared" si="219"/>
        <v>0.77552925113844451</v>
      </c>
      <c r="BC112" s="5"/>
      <c r="BD112" s="5">
        <f t="shared" si="220"/>
        <v>0.77815968731406637</v>
      </c>
      <c r="BE112" s="5"/>
      <c r="BF112" s="5">
        <f t="shared" si="221"/>
        <v>0.77527784536455679</v>
      </c>
      <c r="BG112" s="5"/>
      <c r="BH112" s="5">
        <f t="shared" si="222"/>
        <v>0.77606743073318407</v>
      </c>
      <c r="BN112" s="47">
        <f>'[1]Stress vs Strain Overtime'!B30</f>
        <v>24</v>
      </c>
      <c r="BO112" s="47">
        <f>VLOOKUP(BN112,'[1]Stress vs Strain Overtime'!B30:Q58,15,0)</f>
        <v>29915.161705113915</v>
      </c>
      <c r="BP112" s="48">
        <v>18</v>
      </c>
      <c r="BQ112" s="49"/>
    </row>
    <row r="113" spans="2:69" x14ac:dyDescent="0.3">
      <c r="B113" s="23"/>
      <c r="C113" s="27"/>
      <c r="D113" s="25">
        <f t="shared" si="223"/>
        <v>6.1999999999999984</v>
      </c>
      <c r="E113" s="5"/>
      <c r="F113" s="5">
        <f t="shared" si="224"/>
        <v>8.5771817719368051E-2</v>
      </c>
      <c r="G113" s="5"/>
      <c r="H113" s="5">
        <f t="shared" si="196"/>
        <v>0.35786268734318655</v>
      </c>
      <c r="I113" s="5"/>
      <c r="J113" s="5">
        <f t="shared" si="197"/>
        <v>0.44155795665956793</v>
      </c>
      <c r="K113" s="5"/>
      <c r="L113" s="5">
        <f t="shared" si="198"/>
        <v>0.48220467879862777</v>
      </c>
      <c r="M113" s="5"/>
      <c r="N113" s="5">
        <f t="shared" si="199"/>
        <v>0.52241551125612096</v>
      </c>
      <c r="O113" s="5"/>
      <c r="P113" s="5">
        <f t="shared" si="200"/>
        <v>0.55968834864019967</v>
      </c>
      <c r="Q113" s="5"/>
      <c r="R113" s="5">
        <f t="shared" si="201"/>
        <v>0.59243618785423291</v>
      </c>
      <c r="S113" s="5"/>
      <c r="T113" s="5">
        <f t="shared" si="202"/>
        <v>0.61302025025826601</v>
      </c>
      <c r="U113" s="5"/>
      <c r="V113" s="5">
        <f t="shared" si="203"/>
        <v>0.6350830709071883</v>
      </c>
      <c r="W113" s="5"/>
      <c r="X113" s="5">
        <f t="shared" si="204"/>
        <v>0.65300409441431606</v>
      </c>
      <c r="Y113" s="5"/>
      <c r="Z113" s="5">
        <f t="shared" si="205"/>
        <v>0.66496514675539586</v>
      </c>
      <c r="AA113" s="5"/>
      <c r="AB113" s="5">
        <f t="shared" si="206"/>
        <v>0.67935323811411819</v>
      </c>
      <c r="AC113" s="5"/>
      <c r="AD113" s="5">
        <f t="shared" si="207"/>
        <v>0.69704052602109201</v>
      </c>
      <c r="AE113" s="5"/>
      <c r="AF113" s="5">
        <f t="shared" si="208"/>
        <v>0.71978973934821311</v>
      </c>
      <c r="AG113" s="5"/>
      <c r="AH113" s="5">
        <f t="shared" si="209"/>
        <v>0.73806173766485883</v>
      </c>
      <c r="AI113" s="5"/>
      <c r="AJ113" s="5">
        <f t="shared" si="210"/>
        <v>0.74806767954712927</v>
      </c>
      <c r="AK113" s="5"/>
      <c r="AL113" s="5">
        <f t="shared" si="211"/>
        <v>0.75688539419709422</v>
      </c>
      <c r="AM113" s="5"/>
      <c r="AN113" s="5">
        <f t="shared" si="212"/>
        <v>0.76576313582981415</v>
      </c>
      <c r="AO113" s="5"/>
      <c r="AP113" s="5">
        <f t="shared" si="213"/>
        <v>0.77094896611348851</v>
      </c>
      <c r="AQ113" s="5"/>
      <c r="AR113" s="5">
        <f t="shared" si="214"/>
        <v>0.77304063870795126</v>
      </c>
      <c r="AS113" s="5"/>
      <c r="AT113" s="5">
        <f t="shared" si="215"/>
        <v>0.78352293119956606</v>
      </c>
      <c r="AU113" s="5"/>
      <c r="AV113" s="5">
        <f t="shared" si="216"/>
        <v>0.78636153067081149</v>
      </c>
      <c r="AW113" s="5"/>
      <c r="AX113" s="5">
        <f t="shared" si="217"/>
        <v>0.79190171130962617</v>
      </c>
      <c r="AY113" s="5"/>
      <c r="AZ113" s="5">
        <f t="shared" si="218"/>
        <v>0.7926549317614745</v>
      </c>
      <c r="BA113" s="5"/>
      <c r="BB113" s="5">
        <f t="shared" si="219"/>
        <v>0.79624997361249095</v>
      </c>
      <c r="BC113" s="5"/>
      <c r="BD113" s="5">
        <f t="shared" si="220"/>
        <v>0.79652310816893546</v>
      </c>
      <c r="BE113" s="5"/>
      <c r="BF113" s="5">
        <f t="shared" si="221"/>
        <v>0.79822150797497016</v>
      </c>
      <c r="BG113" s="5"/>
      <c r="BH113" s="5">
        <f t="shared" si="222"/>
        <v>0.79661602734529791</v>
      </c>
      <c r="BN113" s="47">
        <f>'[1]Stress vs Strain Overtime'!B31</f>
        <v>25</v>
      </c>
      <c r="BO113" s="47">
        <f>VLOOKUP(BN113,'[1]Stress vs Strain Overtime'!B31:Q59,15,0)</f>
        <v>29997.968704483057</v>
      </c>
      <c r="BP113" s="48">
        <v>18</v>
      </c>
      <c r="BQ113" s="49"/>
    </row>
    <row r="114" spans="2:69" x14ac:dyDescent="0.3">
      <c r="B114" s="23"/>
      <c r="C114" s="27"/>
      <c r="D114" s="25">
        <f t="shared" si="223"/>
        <v>5.9999999999999982</v>
      </c>
      <c r="E114" s="5"/>
      <c r="F114" s="5">
        <f t="shared" si="224"/>
        <v>8.5771817719368051E-2</v>
      </c>
      <c r="G114" s="5"/>
      <c r="H114" s="5">
        <f t="shared" si="196"/>
        <v>0.35786268734318655</v>
      </c>
      <c r="I114" s="5"/>
      <c r="J114" s="5">
        <f t="shared" si="197"/>
        <v>0.44155795665956793</v>
      </c>
      <c r="K114" s="5"/>
      <c r="L114" s="5">
        <f t="shared" si="198"/>
        <v>0.48220467879862777</v>
      </c>
      <c r="M114" s="5"/>
      <c r="N114" s="5">
        <f t="shared" si="199"/>
        <v>0.52241551125612096</v>
      </c>
      <c r="O114" s="5"/>
      <c r="P114" s="5">
        <f t="shared" si="200"/>
        <v>0.55968834864019967</v>
      </c>
      <c r="Q114" s="5"/>
      <c r="R114" s="5">
        <f t="shared" si="201"/>
        <v>0.59243618785423291</v>
      </c>
      <c r="S114" s="5"/>
      <c r="T114" s="5">
        <f t="shared" si="202"/>
        <v>0.61302025025826601</v>
      </c>
      <c r="U114" s="5"/>
      <c r="V114" s="5">
        <f t="shared" si="203"/>
        <v>0.6350830709071883</v>
      </c>
      <c r="W114" s="5"/>
      <c r="X114" s="5">
        <f t="shared" si="204"/>
        <v>0.65349122586830932</v>
      </c>
      <c r="Y114" s="5"/>
      <c r="Z114" s="5">
        <f t="shared" si="205"/>
        <v>0.66532045133656714</v>
      </c>
      <c r="AA114" s="5"/>
      <c r="AB114" s="5">
        <f t="shared" si="206"/>
        <v>0.68089424912262064</v>
      </c>
      <c r="AC114" s="5"/>
      <c r="AD114" s="5">
        <f t="shared" si="207"/>
        <v>0.6981960630224</v>
      </c>
      <c r="AE114" s="5"/>
      <c r="AF114" s="5">
        <f t="shared" si="208"/>
        <v>0.72281983400626715</v>
      </c>
      <c r="AG114" s="5"/>
      <c r="AH114" s="5">
        <f t="shared" si="209"/>
        <v>0.7404206051807638</v>
      </c>
      <c r="AI114" s="5"/>
      <c r="AJ114" s="5">
        <f t="shared" si="210"/>
        <v>0.75288691383399786</v>
      </c>
      <c r="AK114" s="5"/>
      <c r="AL114" s="5">
        <f t="shared" si="211"/>
        <v>0.7607459020889209</v>
      </c>
      <c r="AM114" s="5"/>
      <c r="AN114" s="5">
        <f t="shared" si="212"/>
        <v>0.77254361150452067</v>
      </c>
      <c r="AO114" s="5"/>
      <c r="AP114" s="5">
        <f t="shared" si="213"/>
        <v>0.77650690052354066</v>
      </c>
      <c r="AQ114" s="5"/>
      <c r="AR114" s="5">
        <f t="shared" si="214"/>
        <v>0.78184654997701619</v>
      </c>
      <c r="AS114" s="5"/>
      <c r="AT114" s="5">
        <f t="shared" si="215"/>
        <v>0.7908844851475455</v>
      </c>
      <c r="AU114" s="5"/>
      <c r="AV114" s="5">
        <f t="shared" si="216"/>
        <v>0.79719976454145014</v>
      </c>
      <c r="AW114" s="5"/>
      <c r="AX114" s="5">
        <f t="shared" si="217"/>
        <v>0.80113576808718867</v>
      </c>
      <c r="AY114" s="5"/>
      <c r="AZ114" s="5">
        <f t="shared" si="218"/>
        <v>0.80551487430617652</v>
      </c>
      <c r="BA114" s="5"/>
      <c r="BB114" s="5">
        <f t="shared" si="219"/>
        <v>0.80738385080575892</v>
      </c>
      <c r="BC114" s="5"/>
      <c r="BD114" s="5">
        <f t="shared" si="220"/>
        <v>0.81136181293774612</v>
      </c>
      <c r="BE114" s="5"/>
      <c r="BF114" s="5">
        <f t="shared" si="221"/>
        <v>0.81124432355951359</v>
      </c>
      <c r="BG114" s="5"/>
      <c r="BH114" s="5">
        <f t="shared" si="222"/>
        <v>0.81336075758495252</v>
      </c>
      <c r="BN114" s="47">
        <f>'[1]Stress vs Strain Overtime'!B32</f>
        <v>26</v>
      </c>
      <c r="BO114" s="47">
        <f>VLOOKUP(BN114,'[1]Stress vs Strain Overtime'!B32:Q60,15,0)</f>
        <v>30076.160774978998</v>
      </c>
      <c r="BP114" s="48">
        <v>18</v>
      </c>
      <c r="BQ114" s="49"/>
    </row>
    <row r="115" spans="2:69" x14ac:dyDescent="0.3">
      <c r="B115" s="23"/>
      <c r="C115" s="27"/>
      <c r="D115" s="25">
        <f t="shared" si="223"/>
        <v>5.799999999999998</v>
      </c>
      <c r="E115" s="5"/>
      <c r="F115" s="5">
        <f t="shared" si="224"/>
        <v>8.5771817719368051E-2</v>
      </c>
      <c r="G115" s="5"/>
      <c r="H115" s="5">
        <f t="shared" si="196"/>
        <v>0.35786268734318655</v>
      </c>
      <c r="I115" s="5"/>
      <c r="J115" s="5">
        <f t="shared" si="197"/>
        <v>0.44155795665956793</v>
      </c>
      <c r="K115" s="5"/>
      <c r="L115" s="5">
        <f t="shared" si="198"/>
        <v>0.48220467879862777</v>
      </c>
      <c r="M115" s="5"/>
      <c r="N115" s="5">
        <f t="shared" si="199"/>
        <v>0.52241551125612096</v>
      </c>
      <c r="O115" s="5"/>
      <c r="P115" s="5">
        <f t="shared" si="200"/>
        <v>0.55968834864019967</v>
      </c>
      <c r="Q115" s="5"/>
      <c r="R115" s="5">
        <f t="shared" si="201"/>
        <v>0.59243618785423291</v>
      </c>
      <c r="S115" s="5"/>
      <c r="T115" s="5">
        <f t="shared" si="202"/>
        <v>0.61302025025826601</v>
      </c>
      <c r="U115" s="5"/>
      <c r="V115" s="5">
        <f t="shared" si="203"/>
        <v>0.6350830709071883</v>
      </c>
      <c r="W115" s="5"/>
      <c r="X115" s="5">
        <f t="shared" si="204"/>
        <v>0.65349122586830932</v>
      </c>
      <c r="Y115" s="5"/>
      <c r="Z115" s="5">
        <f t="shared" si="205"/>
        <v>0.66556643143122407</v>
      </c>
      <c r="AA115" s="5"/>
      <c r="AB115" s="5">
        <f t="shared" si="206"/>
        <v>0.68107343644919061</v>
      </c>
      <c r="AC115" s="5"/>
      <c r="AD115" s="5">
        <f t="shared" si="207"/>
        <v>0.6990349384416189</v>
      </c>
      <c r="AE115" s="5"/>
      <c r="AF115" s="5">
        <f t="shared" si="208"/>
        <v>0.72344696711846701</v>
      </c>
      <c r="AG115" s="5"/>
      <c r="AH115" s="5">
        <f t="shared" si="209"/>
        <v>0.74217313788268047</v>
      </c>
      <c r="AI115" s="5"/>
      <c r="AJ115" s="5">
        <f t="shared" si="210"/>
        <v>0.75424294787347657</v>
      </c>
      <c r="AK115" s="5"/>
      <c r="AL115" s="5">
        <f t="shared" si="211"/>
        <v>0.76367202632694442</v>
      </c>
      <c r="AM115" s="5"/>
      <c r="AN115" s="5">
        <f t="shared" si="212"/>
        <v>0.77487083513990329</v>
      </c>
      <c r="AO115" s="5"/>
      <c r="AP115" s="5">
        <f t="shared" si="213"/>
        <v>0.78079322572223542</v>
      </c>
      <c r="AQ115" s="5"/>
      <c r="AR115" s="5">
        <f t="shared" si="214"/>
        <v>0.7853330002716109</v>
      </c>
      <c r="AS115" s="5"/>
      <c r="AT115" s="5">
        <f t="shared" si="215"/>
        <v>0.79664577196097586</v>
      </c>
      <c r="AU115" s="5"/>
      <c r="AV115" s="5">
        <f t="shared" si="216"/>
        <v>0.80197702679754612</v>
      </c>
      <c r="AW115" s="5"/>
      <c r="AX115" s="5">
        <f t="shared" si="217"/>
        <v>0.80843696167675183</v>
      </c>
      <c r="AY115" s="5"/>
      <c r="AZ115" s="5">
        <f t="shared" si="218"/>
        <v>0.81168036226542783</v>
      </c>
      <c r="BA115" s="5"/>
      <c r="BB115" s="5">
        <f t="shared" si="219"/>
        <v>0.81626338247320251</v>
      </c>
      <c r="BC115" s="5"/>
      <c r="BD115" s="5">
        <f t="shared" si="220"/>
        <v>0.81898010268471289</v>
      </c>
      <c r="BE115" s="5"/>
      <c r="BF115" s="5">
        <f t="shared" si="221"/>
        <v>0.82171237049929358</v>
      </c>
      <c r="BG115" s="5"/>
      <c r="BH115" s="5">
        <f t="shared" si="222"/>
        <v>0.82246561216660763</v>
      </c>
      <c r="BN115" s="47">
        <f>'[1]Stress vs Strain Overtime'!B33</f>
        <v>27</v>
      </c>
      <c r="BO115" s="47">
        <f>VLOOKUP(BN115,'[1]Stress vs Strain Overtime'!B33:Q61,15,0)</f>
        <v>30150.154565723926</v>
      </c>
      <c r="BP115" s="48">
        <v>18</v>
      </c>
      <c r="BQ115" s="49"/>
    </row>
    <row r="116" spans="2:69" x14ac:dyDescent="0.3">
      <c r="B116" s="23"/>
      <c r="C116" s="27"/>
      <c r="D116" s="25">
        <f t="shared" si="223"/>
        <v>5.5999999999999979</v>
      </c>
      <c r="E116" s="5"/>
      <c r="F116" s="5">
        <f t="shared" si="224"/>
        <v>8.5771817719368051E-2</v>
      </c>
      <c r="G116" s="5"/>
      <c r="H116" s="5">
        <f t="shared" si="196"/>
        <v>0.35786268734318655</v>
      </c>
      <c r="I116" s="5"/>
      <c r="J116" s="5">
        <f t="shared" si="197"/>
        <v>0.44155795665956793</v>
      </c>
      <c r="K116" s="5"/>
      <c r="L116" s="5">
        <f t="shared" si="198"/>
        <v>0.48220467879862777</v>
      </c>
      <c r="M116" s="5"/>
      <c r="N116" s="5">
        <f t="shared" si="199"/>
        <v>0.52241551125612096</v>
      </c>
      <c r="O116" s="5"/>
      <c r="P116" s="5">
        <f t="shared" si="200"/>
        <v>0.55968834864019967</v>
      </c>
      <c r="Q116" s="5"/>
      <c r="R116" s="5">
        <f t="shared" si="201"/>
        <v>0.59243618785423291</v>
      </c>
      <c r="S116" s="5"/>
      <c r="T116" s="5">
        <f t="shared" si="202"/>
        <v>0.61302025025826601</v>
      </c>
      <c r="U116" s="5"/>
      <c r="V116" s="5">
        <f t="shared" si="203"/>
        <v>0.6350830709071883</v>
      </c>
      <c r="W116" s="5"/>
      <c r="X116" s="5">
        <f t="shared" si="204"/>
        <v>0.65349122586830932</v>
      </c>
      <c r="Y116" s="5"/>
      <c r="Z116" s="5">
        <f t="shared" si="205"/>
        <v>0.66556643143122407</v>
      </c>
      <c r="AA116" s="5"/>
      <c r="AB116" s="5">
        <f t="shared" si="206"/>
        <v>0.68119748921373913</v>
      </c>
      <c r="AC116" s="5"/>
      <c r="AD116" s="5">
        <f t="shared" si="207"/>
        <v>0.69912521476984602</v>
      </c>
      <c r="AE116" s="5"/>
      <c r="AF116" s="5">
        <f t="shared" si="208"/>
        <v>0.72390071225761721</v>
      </c>
      <c r="AG116" s="5"/>
      <c r="AH116" s="5">
        <f t="shared" si="209"/>
        <v>0.74251147552250452</v>
      </c>
      <c r="AI116" s="5"/>
      <c r="AJ116" s="5">
        <f t="shared" si="210"/>
        <v>0.75524675609386016</v>
      </c>
      <c r="AK116" s="5"/>
      <c r="AL116" s="5">
        <f t="shared" si="211"/>
        <v>0.76444469656786074</v>
      </c>
      <c r="AM116" s="5"/>
      <c r="AN116" s="5">
        <f t="shared" si="212"/>
        <v>0.77662696423634847</v>
      </c>
      <c r="AO116" s="5"/>
      <c r="AP116" s="5">
        <f t="shared" si="213"/>
        <v>0.7821810958349833</v>
      </c>
      <c r="AQ116" s="5"/>
      <c r="AR116" s="5">
        <f t="shared" si="214"/>
        <v>0.78800811870780207</v>
      </c>
      <c r="AS116" s="5"/>
      <c r="AT116" s="5">
        <f t="shared" si="215"/>
        <v>0.79880666657192934</v>
      </c>
      <c r="AU116" s="5"/>
      <c r="AV116" s="5">
        <f t="shared" si="216"/>
        <v>0.80569538557347442</v>
      </c>
      <c r="AW116" s="5"/>
      <c r="AX116" s="5">
        <f t="shared" si="217"/>
        <v>0.81149764891858145</v>
      </c>
      <c r="AY116" s="5"/>
      <c r="AZ116" s="5">
        <f t="shared" si="218"/>
        <v>0.81653046057809608</v>
      </c>
      <c r="BA116" s="5"/>
      <c r="BB116" s="5">
        <f t="shared" si="219"/>
        <v>0.82032647268019632</v>
      </c>
      <c r="BC116" s="5"/>
      <c r="BD116" s="5">
        <f t="shared" si="220"/>
        <v>0.82502611093284806</v>
      </c>
      <c r="BE116" s="5"/>
      <c r="BF116" s="5">
        <f t="shared" si="221"/>
        <v>0.82685698743979574</v>
      </c>
      <c r="BG116" s="5"/>
      <c r="BH116" s="5">
        <f t="shared" si="222"/>
        <v>0.82974857660917856</v>
      </c>
      <c r="BN116" s="47">
        <f>'[1]Stress vs Strain Overtime'!B34</f>
        <v>28</v>
      </c>
      <c r="BO116" s="47">
        <f>VLOOKUP(BN116,'[1]Stress vs Strain Overtime'!B34:Q62,15,0)</f>
        <v>30220.315672773424</v>
      </c>
      <c r="BP116" s="48">
        <v>18</v>
      </c>
      <c r="BQ116" s="49"/>
    </row>
    <row r="117" spans="2:69" x14ac:dyDescent="0.3">
      <c r="B117" s="23"/>
      <c r="C117" s="27"/>
      <c r="D117" s="25">
        <f t="shared" si="223"/>
        <v>5.3999999999999977</v>
      </c>
      <c r="E117" s="5"/>
      <c r="F117" s="5">
        <f t="shared" si="224"/>
        <v>8.5771817719368051E-2</v>
      </c>
      <c r="G117" s="5"/>
      <c r="H117" s="5">
        <f t="shared" si="196"/>
        <v>0.35786268734318655</v>
      </c>
      <c r="I117" s="5"/>
      <c r="J117" s="5">
        <f t="shared" si="197"/>
        <v>0.44155795665956793</v>
      </c>
      <c r="K117" s="5"/>
      <c r="L117" s="5">
        <f t="shared" si="198"/>
        <v>0.48220467879862777</v>
      </c>
      <c r="M117" s="5"/>
      <c r="N117" s="5">
        <f t="shared" si="199"/>
        <v>0.52241551125612096</v>
      </c>
      <c r="O117" s="5"/>
      <c r="P117" s="5">
        <f t="shared" si="200"/>
        <v>0.55968834864019967</v>
      </c>
      <c r="Q117" s="5"/>
      <c r="R117" s="5">
        <f t="shared" si="201"/>
        <v>0.59243618785423291</v>
      </c>
      <c r="S117" s="5"/>
      <c r="T117" s="5">
        <f t="shared" si="202"/>
        <v>0.61302025025826601</v>
      </c>
      <c r="U117" s="5"/>
      <c r="V117" s="5">
        <f t="shared" si="203"/>
        <v>0.6350830709071883</v>
      </c>
      <c r="W117" s="5"/>
      <c r="X117" s="5">
        <f t="shared" si="204"/>
        <v>0.65349122586830932</v>
      </c>
      <c r="Y117" s="5"/>
      <c r="Z117" s="5">
        <f t="shared" si="205"/>
        <v>0.66556643143122407</v>
      </c>
      <c r="AA117" s="5"/>
      <c r="AB117" s="5">
        <f t="shared" si="206"/>
        <v>0.68119748921373913</v>
      </c>
      <c r="AC117" s="5"/>
      <c r="AD117" s="5">
        <f t="shared" si="207"/>
        <v>0.69918771376631095</v>
      </c>
      <c r="AE117" s="5"/>
      <c r="AF117" s="5">
        <f t="shared" si="208"/>
        <v>0.72394615668603757</v>
      </c>
      <c r="AG117" s="5"/>
      <c r="AH117" s="5">
        <f t="shared" si="209"/>
        <v>0.74275555693834461</v>
      </c>
      <c r="AI117" s="5"/>
      <c r="AJ117" s="5">
        <f t="shared" si="210"/>
        <v>0.75542835042930723</v>
      </c>
      <c r="AK117" s="5"/>
      <c r="AL117" s="5">
        <f t="shared" si="211"/>
        <v>0.76501478077505003</v>
      </c>
      <c r="AM117" s="5"/>
      <c r="AN117" s="5">
        <f t="shared" si="212"/>
        <v>0.77706380960577015</v>
      </c>
      <c r="AO117" s="5"/>
      <c r="AP117" s="5">
        <f t="shared" si="213"/>
        <v>0.78322421696797118</v>
      </c>
      <c r="AQ117" s="5"/>
      <c r="AR117" s="5">
        <f t="shared" si="214"/>
        <v>0.78882787569322932</v>
      </c>
      <c r="AS117" s="5"/>
      <c r="AT117" s="5">
        <f t="shared" si="215"/>
        <v>0.80045713114858741</v>
      </c>
      <c r="AU117" s="5"/>
      <c r="AV117" s="5">
        <f t="shared" si="216"/>
        <v>0.80702030056433516</v>
      </c>
      <c r="AW117" s="5"/>
      <c r="AX117" s="5">
        <f t="shared" si="217"/>
        <v>0.81386815002978674</v>
      </c>
      <c r="AY117" s="5"/>
      <c r="AZ117" s="5">
        <f t="shared" si="218"/>
        <v>0.81846872136010651</v>
      </c>
      <c r="BA117" s="5"/>
      <c r="BB117" s="5">
        <f t="shared" si="219"/>
        <v>0.82350752065731192</v>
      </c>
      <c r="BC117" s="5"/>
      <c r="BD117" s="5">
        <f t="shared" si="220"/>
        <v>0.82767180347432578</v>
      </c>
      <c r="BE117" s="5"/>
      <c r="BF117" s="5">
        <f t="shared" si="221"/>
        <v>0.83092105234277935</v>
      </c>
      <c r="BG117" s="5"/>
      <c r="BH117" s="5">
        <f t="shared" si="222"/>
        <v>0.83318079595130834</v>
      </c>
    </row>
    <row r="118" spans="2:69" x14ac:dyDescent="0.3">
      <c r="B118" s="23"/>
      <c r="C118" s="27"/>
      <c r="D118" s="25">
        <f t="shared" si="223"/>
        <v>5.1999999999999975</v>
      </c>
      <c r="E118" s="5"/>
      <c r="F118" s="5">
        <f t="shared" si="224"/>
        <v>8.5771817719368051E-2</v>
      </c>
      <c r="G118" s="5"/>
      <c r="H118" s="5">
        <f t="shared" si="196"/>
        <v>0.35786268734318655</v>
      </c>
      <c r="I118" s="5"/>
      <c r="J118" s="5">
        <f t="shared" si="197"/>
        <v>0.44155795665956793</v>
      </c>
      <c r="K118" s="5"/>
      <c r="L118" s="5">
        <f t="shared" si="198"/>
        <v>0.48220467879862777</v>
      </c>
      <c r="M118" s="5"/>
      <c r="N118" s="5">
        <f t="shared" si="199"/>
        <v>0.52241551125612096</v>
      </c>
      <c r="O118" s="5"/>
      <c r="P118" s="5">
        <f t="shared" si="200"/>
        <v>0.55968834864019967</v>
      </c>
      <c r="Q118" s="5"/>
      <c r="R118" s="5">
        <f t="shared" si="201"/>
        <v>0.59243618785423291</v>
      </c>
      <c r="S118" s="5"/>
      <c r="T118" s="5">
        <f t="shared" si="202"/>
        <v>0.61302025025826601</v>
      </c>
      <c r="U118" s="5"/>
      <c r="V118" s="5">
        <f t="shared" si="203"/>
        <v>0.6350830709071883</v>
      </c>
      <c r="W118" s="5"/>
      <c r="X118" s="5">
        <f t="shared" si="204"/>
        <v>0.65349122586830932</v>
      </c>
      <c r="Y118" s="5"/>
      <c r="Z118" s="5">
        <f t="shared" si="205"/>
        <v>0.66556643143122407</v>
      </c>
      <c r="AA118" s="5"/>
      <c r="AB118" s="5">
        <f t="shared" si="206"/>
        <v>0.68119748921373913</v>
      </c>
      <c r="AC118" s="5"/>
      <c r="AD118" s="5">
        <f t="shared" si="207"/>
        <v>0.69918771376631095</v>
      </c>
      <c r="AE118" s="5"/>
      <c r="AF118" s="5">
        <f t="shared" si="208"/>
        <v>0.72397761821340534</v>
      </c>
      <c r="AG118" s="5"/>
      <c r="AH118" s="5">
        <f t="shared" si="209"/>
        <v>0.74277841758968388</v>
      </c>
      <c r="AI118" s="5"/>
      <c r="AJ118" s="5">
        <f t="shared" si="210"/>
        <v>0.75555902054994573</v>
      </c>
      <c r="AK118" s="5"/>
      <c r="AL118" s="5">
        <f t="shared" si="211"/>
        <v>0.76511180882278229</v>
      </c>
      <c r="AM118" s="5"/>
      <c r="AN118" s="5">
        <f t="shared" si="212"/>
        <v>0.77738515070301561</v>
      </c>
      <c r="AO118" s="5"/>
      <c r="AP118" s="5">
        <f t="shared" si="213"/>
        <v>0.78346948982181119</v>
      </c>
      <c r="AQ118" s="5"/>
      <c r="AR118" s="5">
        <f t="shared" si="214"/>
        <v>0.78944178511586838</v>
      </c>
      <c r="AS118" s="5"/>
      <c r="AT118" s="5">
        <f t="shared" si="215"/>
        <v>0.80093717064782055</v>
      </c>
      <c r="AU118" s="5"/>
      <c r="AV118" s="5">
        <f t="shared" si="216"/>
        <v>0.80802807575825208</v>
      </c>
      <c r="AW118" s="5"/>
      <c r="AX118" s="5">
        <f t="shared" si="217"/>
        <v>0.8146725940338766</v>
      </c>
      <c r="AY118" s="5"/>
      <c r="AZ118" s="5">
        <f t="shared" si="218"/>
        <v>0.81996315694335631</v>
      </c>
      <c r="BA118" s="5"/>
      <c r="BB118" s="5">
        <f t="shared" si="219"/>
        <v>0.82472205897842199</v>
      </c>
      <c r="BC118" s="5"/>
      <c r="BD118" s="5">
        <f t="shared" si="220"/>
        <v>0.82973397716971142</v>
      </c>
      <c r="BE118" s="5"/>
      <c r="BF118" s="5">
        <f t="shared" si="221"/>
        <v>0.83262493723721409</v>
      </c>
      <c r="BG118" s="5"/>
      <c r="BH118" s="5">
        <f t="shared" si="222"/>
        <v>0.83588037605536525</v>
      </c>
    </row>
    <row r="119" spans="2:69" x14ac:dyDescent="0.3">
      <c r="B119" s="23"/>
      <c r="C119" s="27"/>
      <c r="D119" s="25">
        <f t="shared" si="223"/>
        <v>4.9999999999999973</v>
      </c>
      <c r="E119" s="5"/>
      <c r="F119" s="5">
        <f t="shared" si="224"/>
        <v>8.5771817719368051E-2</v>
      </c>
      <c r="G119" s="5"/>
      <c r="H119" s="5">
        <f t="shared" si="196"/>
        <v>0.35786268734318655</v>
      </c>
      <c r="I119" s="5"/>
      <c r="J119" s="5">
        <f t="shared" si="197"/>
        <v>0.44155795665956793</v>
      </c>
      <c r="K119" s="5"/>
      <c r="L119" s="5">
        <f t="shared" si="198"/>
        <v>0.48220467879862777</v>
      </c>
      <c r="M119" s="5"/>
      <c r="N119" s="5">
        <f t="shared" si="199"/>
        <v>0.52241551125612096</v>
      </c>
      <c r="O119" s="5"/>
      <c r="P119" s="5">
        <f t="shared" si="200"/>
        <v>0.55968834864019967</v>
      </c>
      <c r="Q119" s="5"/>
      <c r="R119" s="5">
        <f t="shared" si="201"/>
        <v>0.59243618785423291</v>
      </c>
      <c r="S119" s="5"/>
      <c r="T119" s="5">
        <f t="shared" si="202"/>
        <v>0.61302025025826601</v>
      </c>
      <c r="U119" s="5"/>
      <c r="V119" s="5">
        <f t="shared" si="203"/>
        <v>0.6350830709071883</v>
      </c>
      <c r="W119" s="5"/>
      <c r="X119" s="5">
        <f t="shared" si="204"/>
        <v>0.65349122586830932</v>
      </c>
      <c r="Y119" s="5"/>
      <c r="Z119" s="5">
        <f t="shared" si="205"/>
        <v>0.66556643143122407</v>
      </c>
      <c r="AA119" s="5"/>
      <c r="AB119" s="5">
        <f t="shared" si="206"/>
        <v>0.68119748921373913</v>
      </c>
      <c r="AC119" s="5"/>
      <c r="AD119" s="5">
        <f t="shared" si="207"/>
        <v>0.69918771376631095</v>
      </c>
      <c r="AE119" s="5"/>
      <c r="AF119" s="5">
        <f t="shared" si="208"/>
        <v>0.72397761821340534</v>
      </c>
      <c r="AG119" s="5"/>
      <c r="AH119" s="5">
        <f t="shared" si="209"/>
        <v>0.7427942441944575</v>
      </c>
      <c r="AI119" s="5"/>
      <c r="AJ119" s="5">
        <f t="shared" si="210"/>
        <v>0.75557051386231566</v>
      </c>
      <c r="AK119" s="5"/>
      <c r="AL119" s="5">
        <f t="shared" si="211"/>
        <v>0.76518146998525693</v>
      </c>
      <c r="AM119" s="5"/>
      <c r="AN119" s="5">
        <f t="shared" si="212"/>
        <v>0.77743678843211461</v>
      </c>
      <c r="AO119" s="5"/>
      <c r="AP119" s="5">
        <f t="shared" si="213"/>
        <v>0.78364941634017438</v>
      </c>
      <c r="AQ119" s="5"/>
      <c r="AR119" s="5">
        <f t="shared" si="214"/>
        <v>0.7895786456238707</v>
      </c>
      <c r="AS119" s="5"/>
      <c r="AT119" s="5">
        <f t="shared" si="215"/>
        <v>0.80129548995795818</v>
      </c>
      <c r="AU119" s="5"/>
      <c r="AV119" s="5">
        <f t="shared" si="216"/>
        <v>0.80830700314341708</v>
      </c>
      <c r="AW119" s="5"/>
      <c r="AX119" s="5">
        <f t="shared" si="217"/>
        <v>0.8152821819393008</v>
      </c>
      <c r="AY119" s="5"/>
      <c r="AZ119" s="5">
        <f t="shared" si="218"/>
        <v>0.82044726753128705</v>
      </c>
      <c r="BA119" s="5"/>
      <c r="BB119" s="5">
        <f t="shared" si="219"/>
        <v>0.82565463590444554</v>
      </c>
      <c r="BC119" s="5"/>
      <c r="BD119" s="5">
        <f t="shared" si="220"/>
        <v>0.830487691149707</v>
      </c>
      <c r="BE119" s="5"/>
      <c r="BF119" s="5">
        <f t="shared" si="221"/>
        <v>0.83394749756218622</v>
      </c>
      <c r="BG119" s="5"/>
      <c r="BH119" s="5">
        <f t="shared" si="222"/>
        <v>0.83696660665240108</v>
      </c>
    </row>
    <row r="120" spans="2:69" x14ac:dyDescent="0.3">
      <c r="B120" s="23"/>
      <c r="C120" s="27"/>
      <c r="D120" s="25">
        <f t="shared" si="223"/>
        <v>4.7999999999999972</v>
      </c>
      <c r="E120" s="5"/>
      <c r="F120" s="5">
        <f t="shared" si="224"/>
        <v>8.5771817719368051E-2</v>
      </c>
      <c r="G120" s="5"/>
      <c r="H120" s="5">
        <f t="shared" si="196"/>
        <v>0.35786268734318655</v>
      </c>
      <c r="I120" s="5"/>
      <c r="J120" s="5">
        <f t="shared" si="197"/>
        <v>0.44155795665956793</v>
      </c>
      <c r="K120" s="5"/>
      <c r="L120" s="5">
        <f t="shared" si="198"/>
        <v>0.48220467879862777</v>
      </c>
      <c r="M120" s="5"/>
      <c r="N120" s="5">
        <f t="shared" si="199"/>
        <v>0.52241551125612096</v>
      </c>
      <c r="O120" s="5"/>
      <c r="P120" s="5">
        <f t="shared" si="200"/>
        <v>0.55968834864019967</v>
      </c>
      <c r="Q120" s="5"/>
      <c r="R120" s="5">
        <f t="shared" si="201"/>
        <v>0.59243618785423291</v>
      </c>
      <c r="S120" s="5"/>
      <c r="T120" s="5">
        <f t="shared" si="202"/>
        <v>0.61302025025826601</v>
      </c>
      <c r="U120" s="5"/>
      <c r="V120" s="5">
        <f t="shared" si="203"/>
        <v>0.6350830709071883</v>
      </c>
      <c r="W120" s="5"/>
      <c r="X120" s="5">
        <f t="shared" si="204"/>
        <v>0.65349122586830932</v>
      </c>
      <c r="Y120" s="5"/>
      <c r="Z120" s="5">
        <f t="shared" si="205"/>
        <v>0.66556643143122407</v>
      </c>
      <c r="AA120" s="5"/>
      <c r="AB120" s="5">
        <f t="shared" si="206"/>
        <v>0.68119748921373913</v>
      </c>
      <c r="AC120" s="5"/>
      <c r="AD120" s="5">
        <f t="shared" si="207"/>
        <v>0.69918771376631095</v>
      </c>
      <c r="AE120" s="5"/>
      <c r="AF120" s="5">
        <f t="shared" si="208"/>
        <v>0.72397761821340534</v>
      </c>
      <c r="AG120" s="5"/>
      <c r="AH120" s="5">
        <f t="shared" si="209"/>
        <v>0.7427942441944575</v>
      </c>
      <c r="AI120" s="5"/>
      <c r="AJ120" s="5">
        <f t="shared" si="210"/>
        <v>0.7555784707708797</v>
      </c>
      <c r="AK120" s="5"/>
      <c r="AL120" s="5">
        <f t="shared" si="211"/>
        <v>0.7651872454642884</v>
      </c>
      <c r="AM120" s="5"/>
      <c r="AN120" s="5">
        <f t="shared" si="212"/>
        <v>0.77747378728900574</v>
      </c>
      <c r="AO120" s="5"/>
      <c r="AP120" s="5">
        <f t="shared" si="213"/>
        <v>0.78367680084701685</v>
      </c>
      <c r="AQ120" s="5"/>
      <c r="AR120" s="5">
        <f t="shared" si="214"/>
        <v>0.78967879102559224</v>
      </c>
      <c r="AS120" s="5"/>
      <c r="AT120" s="5">
        <f t="shared" si="215"/>
        <v>0.80137143242800513</v>
      </c>
      <c r="AU120" s="5"/>
      <c r="AV120" s="5">
        <f t="shared" si="216"/>
        <v>0.80851458030424672</v>
      </c>
      <c r="AW120" s="5"/>
      <c r="AX120" s="5">
        <f t="shared" si="217"/>
        <v>0.81544311420307924</v>
      </c>
      <c r="AY120" s="5"/>
      <c r="AZ120" s="5">
        <f t="shared" si="218"/>
        <v>0.82081283719167786</v>
      </c>
      <c r="BA120" s="5"/>
      <c r="BB120" s="5">
        <f t="shared" si="219"/>
        <v>0.8259436065287229</v>
      </c>
      <c r="BC120" s="5"/>
      <c r="BD120" s="5">
        <f t="shared" si="220"/>
        <v>0.83106414651220928</v>
      </c>
      <c r="BE120" s="5"/>
      <c r="BF120" s="5">
        <f t="shared" si="221"/>
        <v>0.83441103015930007</v>
      </c>
      <c r="BG120" s="5"/>
      <c r="BH120" s="5">
        <f t="shared" si="222"/>
        <v>0.83780617481917585</v>
      </c>
    </row>
    <row r="121" spans="2:69" x14ac:dyDescent="0.3">
      <c r="B121" s="23"/>
      <c r="C121" s="27"/>
      <c r="D121" s="25">
        <f t="shared" si="223"/>
        <v>4.599999999999997</v>
      </c>
      <c r="E121" s="5"/>
      <c r="F121" s="5">
        <f t="shared" si="224"/>
        <v>8.5771817719368051E-2</v>
      </c>
      <c r="G121" s="5"/>
      <c r="H121" s="5">
        <f t="shared" si="196"/>
        <v>0.35786268734318655</v>
      </c>
      <c r="I121" s="5"/>
      <c r="J121" s="5">
        <f t="shared" si="197"/>
        <v>0.44155795665956793</v>
      </c>
      <c r="K121" s="5"/>
      <c r="L121" s="5">
        <f t="shared" si="198"/>
        <v>0.48220467879862777</v>
      </c>
      <c r="M121" s="5"/>
      <c r="N121" s="5">
        <f t="shared" si="199"/>
        <v>0.52241551125612096</v>
      </c>
      <c r="O121" s="5"/>
      <c r="P121" s="5">
        <f t="shared" si="200"/>
        <v>0.55968834864019967</v>
      </c>
      <c r="Q121" s="5"/>
      <c r="R121" s="5">
        <f t="shared" si="201"/>
        <v>0.59243618785423291</v>
      </c>
      <c r="S121" s="5"/>
      <c r="T121" s="5">
        <f t="shared" si="202"/>
        <v>0.61302025025826601</v>
      </c>
      <c r="U121" s="5"/>
      <c r="V121" s="5">
        <f t="shared" si="203"/>
        <v>0.6350830709071883</v>
      </c>
      <c r="W121" s="5"/>
      <c r="X121" s="5">
        <f t="shared" si="204"/>
        <v>0.65349122586830932</v>
      </c>
      <c r="Y121" s="5"/>
      <c r="Z121" s="5">
        <f t="shared" si="205"/>
        <v>0.66556643143122407</v>
      </c>
      <c r="AA121" s="5"/>
      <c r="AB121" s="5">
        <f t="shared" si="206"/>
        <v>0.68119748921373913</v>
      </c>
      <c r="AC121" s="5"/>
      <c r="AD121" s="5">
        <f t="shared" si="207"/>
        <v>0.69918771376631095</v>
      </c>
      <c r="AE121" s="5"/>
      <c r="AF121" s="5">
        <f t="shared" si="208"/>
        <v>0.72397761821340534</v>
      </c>
      <c r="AG121" s="5"/>
      <c r="AH121" s="5">
        <f t="shared" si="209"/>
        <v>0.7427942441944575</v>
      </c>
      <c r="AI121" s="5"/>
      <c r="AJ121" s="5">
        <f t="shared" si="210"/>
        <v>0.7555784707708797</v>
      </c>
      <c r="AK121" s="5"/>
      <c r="AL121" s="5">
        <f t="shared" si="211"/>
        <v>0.76519124387284898</v>
      </c>
      <c r="AM121" s="5"/>
      <c r="AN121" s="5">
        <f t="shared" si="212"/>
        <v>0.77747668828502248</v>
      </c>
      <c r="AO121" s="5"/>
      <c r="AP121" s="5">
        <f t="shared" si="213"/>
        <v>0.7836963868199962</v>
      </c>
      <c r="AQ121" s="5"/>
      <c r="AR121" s="5">
        <f t="shared" si="214"/>
        <v>0.7896932678459917</v>
      </c>
      <c r="AS121" s="5"/>
      <c r="AT121" s="5">
        <f t="shared" si="215"/>
        <v>0.80142687370500865</v>
      </c>
      <c r="AU121" s="5"/>
      <c r="AV121" s="5">
        <f t="shared" si="216"/>
        <v>0.80855650804759915</v>
      </c>
      <c r="AW121" s="5"/>
      <c r="AX121" s="5">
        <f t="shared" si="217"/>
        <v>0.81556251732406937</v>
      </c>
      <c r="AY121" s="5"/>
      <c r="AZ121" s="5">
        <f t="shared" si="218"/>
        <v>0.82090507249159328</v>
      </c>
      <c r="BA121" s="5"/>
      <c r="BB121" s="5">
        <f t="shared" si="219"/>
        <v>0.82616094298780529</v>
      </c>
      <c r="BC121" s="5"/>
      <c r="BD121" s="5">
        <f t="shared" si="220"/>
        <v>0.83123522254513738</v>
      </c>
      <c r="BE121" s="5"/>
      <c r="BF121" s="5">
        <f t="shared" si="221"/>
        <v>0.834763707794832</v>
      </c>
      <c r="BG121" s="5"/>
      <c r="BH121" s="5">
        <f t="shared" si="222"/>
        <v>0.83808847228077665</v>
      </c>
    </row>
    <row r="122" spans="2:69" x14ac:dyDescent="0.3">
      <c r="B122" s="23"/>
      <c r="C122" s="27"/>
      <c r="D122" s="25">
        <f t="shared" si="223"/>
        <v>4.3999999999999968</v>
      </c>
      <c r="E122" s="5"/>
      <c r="F122" s="5">
        <f t="shared" si="224"/>
        <v>8.5771817719368051E-2</v>
      </c>
      <c r="G122" s="5"/>
      <c r="H122" s="5">
        <f t="shared" si="196"/>
        <v>0.35786268734318655</v>
      </c>
      <c r="I122" s="5"/>
      <c r="J122" s="5">
        <f t="shared" si="197"/>
        <v>0.44155795665956793</v>
      </c>
      <c r="K122" s="5"/>
      <c r="L122" s="5">
        <f t="shared" si="198"/>
        <v>0.48220467879862777</v>
      </c>
      <c r="M122" s="5"/>
      <c r="N122" s="5">
        <f t="shared" si="199"/>
        <v>0.52241551125612096</v>
      </c>
      <c r="O122" s="5"/>
      <c r="P122" s="5">
        <f t="shared" si="200"/>
        <v>0.55968834864019967</v>
      </c>
      <c r="Q122" s="5"/>
      <c r="R122" s="5">
        <f t="shared" si="201"/>
        <v>0.59243618785423291</v>
      </c>
      <c r="S122" s="5"/>
      <c r="T122" s="5">
        <f t="shared" si="202"/>
        <v>0.61302025025826601</v>
      </c>
      <c r="U122" s="5"/>
      <c r="V122" s="5">
        <f t="shared" si="203"/>
        <v>0.6350830709071883</v>
      </c>
      <c r="W122" s="5"/>
      <c r="X122" s="5">
        <f t="shared" si="204"/>
        <v>0.65349122586830932</v>
      </c>
      <c r="Y122" s="5"/>
      <c r="Z122" s="5">
        <f t="shared" si="205"/>
        <v>0.66556643143122407</v>
      </c>
      <c r="AA122" s="5"/>
      <c r="AB122" s="5">
        <f t="shared" si="206"/>
        <v>0.68119748921373913</v>
      </c>
      <c r="AC122" s="5"/>
      <c r="AD122" s="5">
        <f t="shared" si="207"/>
        <v>0.69918771376631095</v>
      </c>
      <c r="AE122" s="5"/>
      <c r="AF122" s="5">
        <f t="shared" si="208"/>
        <v>0.72397761821340534</v>
      </c>
      <c r="AG122" s="5"/>
      <c r="AH122" s="5">
        <f t="shared" si="209"/>
        <v>0.7427942441944575</v>
      </c>
      <c r="AI122" s="5"/>
      <c r="AJ122" s="5">
        <f t="shared" si="210"/>
        <v>0.7555784707708797</v>
      </c>
      <c r="AK122" s="5"/>
      <c r="AL122" s="5">
        <f t="shared" si="211"/>
        <v>0.76519124387284898</v>
      </c>
      <c r="AM122" s="5"/>
      <c r="AN122" s="5">
        <f t="shared" si="212"/>
        <v>0.77747869666688041</v>
      </c>
      <c r="AO122" s="5"/>
      <c r="AP122" s="5">
        <f t="shared" si="213"/>
        <v>0.78369784344270055</v>
      </c>
      <c r="AQ122" s="5"/>
      <c r="AR122" s="5">
        <f t="shared" si="214"/>
        <v>0.78970360521813376</v>
      </c>
      <c r="AS122" s="5"/>
      <c r="AT122" s="5">
        <f t="shared" si="215"/>
        <v>0.80143450520638371</v>
      </c>
      <c r="AU122" s="5"/>
      <c r="AV122" s="5">
        <f t="shared" si="216"/>
        <v>0.80858698820872155</v>
      </c>
      <c r="AW122" s="5"/>
      <c r="AX122" s="5">
        <f t="shared" si="217"/>
        <v>0.81558551363326148</v>
      </c>
      <c r="AY122" s="5"/>
      <c r="AZ122" s="5">
        <f t="shared" si="218"/>
        <v>0.82097297586945495</v>
      </c>
      <c r="BA122" s="5"/>
      <c r="BB122" s="5">
        <f t="shared" si="219"/>
        <v>0.82621323490167276</v>
      </c>
      <c r="BC122" s="5"/>
      <c r="BD122" s="5">
        <f t="shared" si="220"/>
        <v>0.83136239138760393</v>
      </c>
      <c r="BE122" s="5"/>
      <c r="BF122" s="5">
        <f t="shared" si="221"/>
        <v>0.83486345932703943</v>
      </c>
      <c r="BG122" s="5"/>
      <c r="BH122" s="5">
        <f t="shared" si="222"/>
        <v>0.83829992456664104</v>
      </c>
    </row>
    <row r="123" spans="2:69" x14ac:dyDescent="0.3">
      <c r="B123" s="23"/>
      <c r="C123" s="27"/>
      <c r="D123" s="25">
        <f t="shared" si="223"/>
        <v>4.1999999999999966</v>
      </c>
      <c r="E123" s="5"/>
      <c r="F123" s="5">
        <f t="shared" si="224"/>
        <v>8.5771817719368051E-2</v>
      </c>
      <c r="G123" s="5"/>
      <c r="H123" s="5">
        <f t="shared" si="196"/>
        <v>0.35786268734318655</v>
      </c>
      <c r="I123" s="5"/>
      <c r="J123" s="5">
        <f t="shared" si="197"/>
        <v>0.44155795665956793</v>
      </c>
      <c r="K123" s="5"/>
      <c r="L123" s="5">
        <f t="shared" si="198"/>
        <v>0.48220467879862777</v>
      </c>
      <c r="M123" s="5"/>
      <c r="N123" s="5">
        <f t="shared" si="199"/>
        <v>0.52241551125612096</v>
      </c>
      <c r="O123" s="5"/>
      <c r="P123" s="5">
        <f t="shared" si="200"/>
        <v>0.55968834864019967</v>
      </c>
      <c r="Q123" s="5"/>
      <c r="R123" s="5">
        <f t="shared" si="201"/>
        <v>0.59243618785423291</v>
      </c>
      <c r="S123" s="5"/>
      <c r="T123" s="5">
        <f t="shared" si="202"/>
        <v>0.61302025025826601</v>
      </c>
      <c r="U123" s="5"/>
      <c r="V123" s="5">
        <f t="shared" si="203"/>
        <v>0.6350830709071883</v>
      </c>
      <c r="W123" s="5"/>
      <c r="X123" s="5">
        <f t="shared" si="204"/>
        <v>0.65349122586830932</v>
      </c>
      <c r="Y123" s="5"/>
      <c r="Z123" s="5">
        <f t="shared" si="205"/>
        <v>0.66556643143122407</v>
      </c>
      <c r="AA123" s="5"/>
      <c r="AB123" s="5">
        <f t="shared" si="206"/>
        <v>0.68119748921373913</v>
      </c>
      <c r="AC123" s="5"/>
      <c r="AD123" s="5">
        <f t="shared" si="207"/>
        <v>0.69918771376631095</v>
      </c>
      <c r="AE123" s="5"/>
      <c r="AF123" s="5">
        <f t="shared" si="208"/>
        <v>0.72397761821340534</v>
      </c>
      <c r="AG123" s="5"/>
      <c r="AH123" s="5">
        <f t="shared" si="209"/>
        <v>0.7427942441944575</v>
      </c>
      <c r="AI123" s="5"/>
      <c r="AJ123" s="5">
        <f t="shared" si="210"/>
        <v>0.7555784707708797</v>
      </c>
      <c r="AK123" s="5"/>
      <c r="AL123" s="5">
        <f t="shared" si="211"/>
        <v>0.76519124387284898</v>
      </c>
      <c r="AM123" s="5"/>
      <c r="AN123" s="5">
        <f t="shared" si="212"/>
        <v>0.77747869666688041</v>
      </c>
      <c r="AO123" s="5"/>
      <c r="AP123" s="5">
        <f t="shared" si="213"/>
        <v>0.78369885187380361</v>
      </c>
      <c r="AQ123" s="5"/>
      <c r="AR123" s="5">
        <f t="shared" si="214"/>
        <v>0.78970433637067927</v>
      </c>
      <c r="AS123" s="5"/>
      <c r="AT123" s="5">
        <f t="shared" si="215"/>
        <v>0.80143981959879862</v>
      </c>
      <c r="AU123" s="5"/>
      <c r="AV123" s="5">
        <f t="shared" si="216"/>
        <v>0.80859090884634621</v>
      </c>
      <c r="AW123" s="5"/>
      <c r="AX123" s="5">
        <f t="shared" si="217"/>
        <v>0.81560151822928872</v>
      </c>
      <c r="AY123" s="5"/>
      <c r="AZ123" s="5">
        <f t="shared" si="218"/>
        <v>0.82098503570196146</v>
      </c>
      <c r="BA123" s="5"/>
      <c r="BB123" s="5">
        <f t="shared" si="219"/>
        <v>0.82624957489983775</v>
      </c>
      <c r="BC123" s="5"/>
      <c r="BD123" s="5">
        <f t="shared" si="220"/>
        <v>0.83139032880342489</v>
      </c>
      <c r="BE123" s="5"/>
      <c r="BF123" s="5">
        <f t="shared" si="221"/>
        <v>0.83493270442528145</v>
      </c>
      <c r="BG123" s="5"/>
      <c r="BH123" s="5">
        <f t="shared" si="222"/>
        <v>0.83835412901918205</v>
      </c>
    </row>
    <row r="124" spans="2:69" x14ac:dyDescent="0.3">
      <c r="B124" s="23"/>
      <c r="C124" s="27"/>
      <c r="D124" s="31">
        <f t="shared" si="223"/>
        <v>3.9999999999999964</v>
      </c>
      <c r="E124" s="32"/>
      <c r="F124" s="5">
        <f t="shared" si="224"/>
        <v>8.5771817719368051E-2</v>
      </c>
      <c r="G124" s="32"/>
      <c r="H124" s="5">
        <f t="shared" si="196"/>
        <v>0.35786268734318655</v>
      </c>
      <c r="I124" s="32"/>
      <c r="J124" s="5">
        <f t="shared" si="197"/>
        <v>0.44155795665956793</v>
      </c>
      <c r="K124" s="5"/>
      <c r="L124" s="5">
        <f t="shared" si="198"/>
        <v>0.48220467879862777</v>
      </c>
      <c r="M124" s="32"/>
      <c r="N124" s="5">
        <f t="shared" si="199"/>
        <v>0.52241551125612096</v>
      </c>
      <c r="O124" s="32"/>
      <c r="P124" s="5">
        <f t="shared" si="200"/>
        <v>0.55968834864019967</v>
      </c>
      <c r="Q124" s="32"/>
      <c r="R124" s="5">
        <f t="shared" si="201"/>
        <v>0.59243618785423291</v>
      </c>
      <c r="S124" s="32"/>
      <c r="T124" s="5">
        <f t="shared" si="202"/>
        <v>0.61302025025826601</v>
      </c>
      <c r="U124" s="32"/>
      <c r="V124" s="5">
        <f t="shared" si="203"/>
        <v>0.6350830709071883</v>
      </c>
      <c r="W124" s="32"/>
      <c r="X124" s="5">
        <f t="shared" si="204"/>
        <v>0.6534912258683091</v>
      </c>
      <c r="Y124" s="32"/>
      <c r="Z124" s="5">
        <f t="shared" si="205"/>
        <v>0.66556643143122407</v>
      </c>
      <c r="AA124" s="32"/>
      <c r="AB124" s="5">
        <f t="shared" si="206"/>
        <v>0.6811974892137389</v>
      </c>
      <c r="AC124" s="32"/>
      <c r="AD124" s="5">
        <f t="shared" si="207"/>
        <v>0.69918771376631095</v>
      </c>
      <c r="AE124" s="32"/>
      <c r="AF124" s="5">
        <f t="shared" si="208"/>
        <v>0.72397761821340534</v>
      </c>
      <c r="AG124" s="32"/>
      <c r="AH124" s="5">
        <f t="shared" si="209"/>
        <v>0.7427942441944575</v>
      </c>
      <c r="AI124" s="32"/>
      <c r="AJ124" s="5">
        <f t="shared" si="210"/>
        <v>0.7555784707708797</v>
      </c>
      <c r="AK124" s="32"/>
      <c r="AL124" s="5">
        <f t="shared" si="211"/>
        <v>0.76519124387284898</v>
      </c>
      <c r="AM124" s="32"/>
      <c r="AN124" s="5">
        <f t="shared" si="212"/>
        <v>0.77747869666688041</v>
      </c>
      <c r="AO124" s="32"/>
      <c r="AP124" s="5">
        <f t="shared" si="213"/>
        <v>0.78369885187380361</v>
      </c>
      <c r="AQ124" s="32"/>
      <c r="AR124" s="5">
        <f t="shared" si="214"/>
        <v>0.78970458946194511</v>
      </c>
      <c r="AS124" s="32"/>
      <c r="AT124" s="5">
        <f t="shared" si="215"/>
        <v>0.80144000304835106</v>
      </c>
      <c r="AU124" s="32"/>
      <c r="AV124" s="5">
        <f t="shared" si="216"/>
        <v>0.80859233749328163</v>
      </c>
      <c r="AW124" s="32"/>
      <c r="AX124" s="5">
        <f t="shared" si="217"/>
        <v>0.81560257071470355</v>
      </c>
      <c r="AY124" s="32"/>
      <c r="AZ124" s="5">
        <f t="shared" si="218"/>
        <v>0.82098961169309859</v>
      </c>
      <c r="BA124" s="32"/>
      <c r="BB124" s="5">
        <f t="shared" si="219"/>
        <v>0.82625301255409933</v>
      </c>
      <c r="BC124" s="32"/>
      <c r="BD124" s="5">
        <f t="shared" si="220"/>
        <v>0.83140131027810293</v>
      </c>
      <c r="BE124" s="32"/>
      <c r="BF124" s="5">
        <f t="shared" si="221"/>
        <v>0.83494111011022276</v>
      </c>
      <c r="BG124" s="32"/>
      <c r="BH124" s="5">
        <f t="shared" si="222"/>
        <v>0.83837612739673484</v>
      </c>
    </row>
    <row r="125" spans="2:69" x14ac:dyDescent="0.3">
      <c r="B125" s="23"/>
      <c r="C125" s="27"/>
      <c r="D125" s="31">
        <f t="shared" si="223"/>
        <v>3.7999999999999963</v>
      </c>
      <c r="E125" s="5"/>
      <c r="F125" s="5">
        <f t="shared" si="224"/>
        <v>8.5771817719368051E-2</v>
      </c>
      <c r="G125" s="5"/>
      <c r="H125" s="5">
        <f t="shared" si="196"/>
        <v>0.35786268734318655</v>
      </c>
      <c r="I125" s="5"/>
      <c r="J125" s="5">
        <f t="shared" si="197"/>
        <v>0.44155795665956793</v>
      </c>
      <c r="K125" s="5"/>
      <c r="L125" s="5">
        <f t="shared" si="198"/>
        <v>0.48220467879862777</v>
      </c>
      <c r="M125" s="5"/>
      <c r="N125" s="5">
        <f t="shared" si="199"/>
        <v>0.52241551125612096</v>
      </c>
      <c r="O125" s="5"/>
      <c r="P125" s="5">
        <f t="shared" si="200"/>
        <v>0.55968834864019967</v>
      </c>
      <c r="Q125" s="5"/>
      <c r="R125" s="5">
        <f t="shared" si="201"/>
        <v>0.59243618785423291</v>
      </c>
      <c r="S125" s="5"/>
      <c r="T125" s="5">
        <f t="shared" si="202"/>
        <v>0.61302025025826601</v>
      </c>
      <c r="U125" s="5"/>
      <c r="V125" s="5">
        <f t="shared" si="203"/>
        <v>0.6350830709071883</v>
      </c>
      <c r="W125" s="5"/>
      <c r="X125" s="5">
        <f t="shared" si="204"/>
        <v>0.65349122586830932</v>
      </c>
      <c r="Y125" s="5"/>
      <c r="Z125" s="5">
        <f t="shared" si="205"/>
        <v>0.66556643143122407</v>
      </c>
      <c r="AA125" s="5"/>
      <c r="AB125" s="5">
        <f t="shared" si="206"/>
        <v>0.68119748921373913</v>
      </c>
      <c r="AC125" s="5"/>
      <c r="AD125" s="5">
        <f t="shared" si="207"/>
        <v>0.69918771376631095</v>
      </c>
      <c r="AE125" s="5"/>
      <c r="AF125" s="5">
        <f t="shared" si="208"/>
        <v>0.72397761821340534</v>
      </c>
      <c r="AG125" s="5"/>
      <c r="AH125" s="5">
        <f t="shared" si="209"/>
        <v>0.7427942441944575</v>
      </c>
      <c r="AI125" s="5"/>
      <c r="AJ125" s="5">
        <f t="shared" si="210"/>
        <v>0.7555784707708797</v>
      </c>
      <c r="AK125" s="5"/>
      <c r="AL125" s="5">
        <f t="shared" si="211"/>
        <v>0.76519124387284898</v>
      </c>
      <c r="AM125" s="5"/>
      <c r="AN125" s="5">
        <f t="shared" si="212"/>
        <v>0.77747869666688041</v>
      </c>
      <c r="AO125" s="5"/>
      <c r="AP125" s="5">
        <f t="shared" si="213"/>
        <v>0.78369834765825208</v>
      </c>
      <c r="AQ125" s="5"/>
      <c r="AR125" s="5">
        <f t="shared" si="214"/>
        <v>0.78970422388567219</v>
      </c>
      <c r="AS125" s="5"/>
      <c r="AT125" s="5">
        <f t="shared" si="215"/>
        <v>0.80143753635744797</v>
      </c>
      <c r="AU125" s="5"/>
      <c r="AV125" s="5">
        <f t="shared" si="216"/>
        <v>0.80859051522508962</v>
      </c>
      <c r="AW125" s="5"/>
      <c r="AX125" s="5">
        <f t="shared" si="217"/>
        <v>0.81559569120983533</v>
      </c>
      <c r="AY125" s="5"/>
      <c r="AZ125" s="5">
        <f t="shared" si="218"/>
        <v>0.82098440819037433</v>
      </c>
      <c r="BA125" s="5"/>
      <c r="BB125" s="5">
        <f t="shared" si="219"/>
        <v>0.82623857840596515</v>
      </c>
      <c r="BC125" s="5"/>
      <c r="BD125" s="5">
        <f t="shared" si="220"/>
        <v>0.83139014297410119</v>
      </c>
      <c r="BE125" s="5"/>
      <c r="BF125" s="5">
        <f t="shared" si="221"/>
        <v>0.83491575962185816</v>
      </c>
      <c r="BG125" s="5"/>
      <c r="BH125" s="5">
        <f t="shared" si="222"/>
        <v>0.83835610437470276</v>
      </c>
    </row>
    <row r="126" spans="2:69" x14ac:dyDescent="0.3">
      <c r="B126" s="23"/>
      <c r="C126" s="27"/>
      <c r="D126" s="31">
        <f t="shared" si="223"/>
        <v>3.5999999999999961</v>
      </c>
      <c r="E126" s="5"/>
      <c r="F126" s="5">
        <f t="shared" si="224"/>
        <v>8.5771817719368051E-2</v>
      </c>
      <c r="G126" s="5"/>
      <c r="H126" s="5">
        <f t="shared" si="196"/>
        <v>0.35786268734318655</v>
      </c>
      <c r="I126" s="5"/>
      <c r="J126" s="5">
        <f t="shared" si="197"/>
        <v>0.44155795665956793</v>
      </c>
      <c r="K126" s="5"/>
      <c r="L126" s="5">
        <f t="shared" si="198"/>
        <v>0.48220467879862777</v>
      </c>
      <c r="M126" s="5"/>
      <c r="N126" s="5">
        <f t="shared" si="199"/>
        <v>0.52241551125612096</v>
      </c>
      <c r="O126" s="5"/>
      <c r="P126" s="5">
        <f t="shared" si="200"/>
        <v>0.55968834864019967</v>
      </c>
      <c r="Q126" s="5"/>
      <c r="R126" s="5">
        <f t="shared" si="201"/>
        <v>0.59243618785423291</v>
      </c>
      <c r="S126" s="5"/>
      <c r="T126" s="5">
        <f t="shared" si="202"/>
        <v>0.61302025025826601</v>
      </c>
      <c r="U126" s="5"/>
      <c r="V126" s="5">
        <f t="shared" si="203"/>
        <v>0.6350830709071883</v>
      </c>
      <c r="W126" s="5"/>
      <c r="X126" s="5">
        <f t="shared" si="204"/>
        <v>0.65349122586830932</v>
      </c>
      <c r="Y126" s="5"/>
      <c r="Z126" s="5">
        <f t="shared" si="205"/>
        <v>0.66556643143122407</v>
      </c>
      <c r="AA126" s="5"/>
      <c r="AB126" s="5">
        <f t="shared" si="206"/>
        <v>0.68119748921373913</v>
      </c>
      <c r="AC126" s="5"/>
      <c r="AD126" s="5">
        <f t="shared" si="207"/>
        <v>0.69918771376631095</v>
      </c>
      <c r="AE126" s="5"/>
      <c r="AF126" s="5">
        <f t="shared" si="208"/>
        <v>0.72397761821340534</v>
      </c>
      <c r="AG126" s="5"/>
      <c r="AH126" s="5">
        <f t="shared" si="209"/>
        <v>0.7427942441944575</v>
      </c>
      <c r="AI126" s="5"/>
      <c r="AJ126" s="5">
        <f t="shared" si="210"/>
        <v>0.7555784707708797</v>
      </c>
      <c r="AK126" s="5"/>
      <c r="AL126" s="5">
        <f t="shared" si="211"/>
        <v>0.76519124387284898</v>
      </c>
      <c r="AM126" s="5"/>
      <c r="AN126" s="5">
        <f t="shared" si="212"/>
        <v>0.77747769247595144</v>
      </c>
      <c r="AO126" s="5"/>
      <c r="AP126" s="5">
        <f t="shared" si="213"/>
        <v>0.78369761934689985</v>
      </c>
      <c r="AQ126" s="5"/>
      <c r="AR126" s="5">
        <f t="shared" si="214"/>
        <v>0.78969905519960115</v>
      </c>
      <c r="AS126" s="5"/>
      <c r="AT126" s="5">
        <f t="shared" si="215"/>
        <v>0.8014337206067601</v>
      </c>
      <c r="AU126" s="5"/>
      <c r="AV126" s="5">
        <f t="shared" si="216"/>
        <v>0.80857537071803531</v>
      </c>
      <c r="AW126" s="5"/>
      <c r="AX126" s="5">
        <f t="shared" si="217"/>
        <v>0.81558426229770054</v>
      </c>
      <c r="AY126" s="5"/>
      <c r="AZ126" s="5">
        <f t="shared" si="218"/>
        <v>0.82095104359159765</v>
      </c>
      <c r="BA126" s="5"/>
      <c r="BB126" s="5">
        <f t="shared" si="219"/>
        <v>0.82621286420926443</v>
      </c>
      <c r="BC126" s="5"/>
      <c r="BD126" s="5">
        <f t="shared" si="220"/>
        <v>0.83132858495182282</v>
      </c>
      <c r="BE126" s="5"/>
      <c r="BF126" s="5">
        <f t="shared" si="221"/>
        <v>0.83486740086589817</v>
      </c>
      <c r="BG126" s="5"/>
      <c r="BH126" s="5">
        <f t="shared" si="222"/>
        <v>0.83825557418129892</v>
      </c>
    </row>
    <row r="127" spans="2:69" x14ac:dyDescent="0.3">
      <c r="B127" s="23"/>
      <c r="C127" s="27"/>
      <c r="D127" s="31">
        <f t="shared" si="223"/>
        <v>3.3999999999999959</v>
      </c>
      <c r="E127" s="5"/>
      <c r="F127" s="5">
        <f t="shared" si="224"/>
        <v>8.5771817719368051E-2</v>
      </c>
      <c r="G127" s="5"/>
      <c r="H127" s="5">
        <f t="shared" si="196"/>
        <v>0.35786268734318655</v>
      </c>
      <c r="I127" s="5"/>
      <c r="J127" s="5">
        <f t="shared" si="197"/>
        <v>0.44155795665956793</v>
      </c>
      <c r="K127" s="5"/>
      <c r="L127" s="5">
        <f t="shared" si="198"/>
        <v>0.48220467879862777</v>
      </c>
      <c r="M127" s="5"/>
      <c r="N127" s="5">
        <f t="shared" si="199"/>
        <v>0.52241551125612096</v>
      </c>
      <c r="O127" s="5"/>
      <c r="P127" s="5">
        <f t="shared" si="200"/>
        <v>0.55968834864019967</v>
      </c>
      <c r="Q127" s="5"/>
      <c r="R127" s="5">
        <f t="shared" si="201"/>
        <v>0.59243618785423291</v>
      </c>
      <c r="S127" s="5"/>
      <c r="T127" s="5">
        <f t="shared" si="202"/>
        <v>0.61302025025826601</v>
      </c>
      <c r="U127" s="5"/>
      <c r="V127" s="5">
        <f t="shared" si="203"/>
        <v>0.6350830709071883</v>
      </c>
      <c r="W127" s="5"/>
      <c r="X127" s="5">
        <f t="shared" si="204"/>
        <v>0.65349122586830932</v>
      </c>
      <c r="Y127" s="5"/>
      <c r="Z127" s="5">
        <f t="shared" si="205"/>
        <v>0.66556643143122407</v>
      </c>
      <c r="AA127" s="5"/>
      <c r="AB127" s="5">
        <f t="shared" si="206"/>
        <v>0.68119748921373913</v>
      </c>
      <c r="AC127" s="5"/>
      <c r="AD127" s="5">
        <f t="shared" si="207"/>
        <v>0.69918771376631095</v>
      </c>
      <c r="AE127" s="5"/>
      <c r="AF127" s="5">
        <f t="shared" si="208"/>
        <v>0.72397761821340534</v>
      </c>
      <c r="AG127" s="5"/>
      <c r="AH127" s="5">
        <f t="shared" si="209"/>
        <v>0.7427942441944575</v>
      </c>
      <c r="AI127" s="5"/>
      <c r="AJ127" s="5">
        <f t="shared" si="210"/>
        <v>0.7555784707708797</v>
      </c>
      <c r="AK127" s="5"/>
      <c r="AL127" s="5">
        <f t="shared" si="211"/>
        <v>0.76518924466856875</v>
      </c>
      <c r="AM127" s="5"/>
      <c r="AN127" s="5">
        <f t="shared" si="212"/>
        <v>0.77747624197794296</v>
      </c>
      <c r="AO127" s="5"/>
      <c r="AP127" s="5">
        <f t="shared" si="213"/>
        <v>0.78368782636041034</v>
      </c>
      <c r="AQ127" s="5"/>
      <c r="AR127" s="5">
        <f t="shared" si="214"/>
        <v>0.78969181678940148</v>
      </c>
      <c r="AS127" s="5"/>
      <c r="AT127" s="5">
        <f t="shared" si="215"/>
        <v>0.80140599996825856</v>
      </c>
      <c r="AU127" s="5"/>
      <c r="AV127" s="5">
        <f t="shared" si="216"/>
        <v>0.80855440684635871</v>
      </c>
      <c r="AW127" s="5"/>
      <c r="AX127" s="5">
        <f t="shared" si="217"/>
        <v>0.81552460867429444</v>
      </c>
      <c r="AY127" s="5"/>
      <c r="AZ127" s="5">
        <f t="shared" si="218"/>
        <v>0.82090496066489749</v>
      </c>
      <c r="BA127" s="5"/>
      <c r="BB127" s="5">
        <f t="shared" si="219"/>
        <v>0.82610450239021105</v>
      </c>
      <c r="BC127" s="5"/>
      <c r="BD127" s="5">
        <f t="shared" si="220"/>
        <v>0.83124327210571691</v>
      </c>
      <c r="BE127" s="5"/>
      <c r="BF127" s="5">
        <f t="shared" si="221"/>
        <v>0.83469215776004158</v>
      </c>
      <c r="BG127" s="5"/>
      <c r="BH127" s="5">
        <f t="shared" si="222"/>
        <v>0.83811524447539498</v>
      </c>
    </row>
    <row r="128" spans="2:69" x14ac:dyDescent="0.3">
      <c r="B128" s="23"/>
      <c r="C128" s="27"/>
      <c r="D128" s="31">
        <f t="shared" si="223"/>
        <v>3.1999999999999957</v>
      </c>
      <c r="E128" s="5"/>
      <c r="F128" s="5">
        <f t="shared" si="224"/>
        <v>8.5771817719368051E-2</v>
      </c>
      <c r="G128" s="5"/>
      <c r="H128" s="5">
        <f t="shared" si="196"/>
        <v>0.35786268734318655</v>
      </c>
      <c r="I128" s="5"/>
      <c r="J128" s="5">
        <f t="shared" si="197"/>
        <v>0.44155795665956793</v>
      </c>
      <c r="K128" s="5"/>
      <c r="L128" s="5">
        <f t="shared" si="198"/>
        <v>0.48220467879862777</v>
      </c>
      <c r="M128" s="5"/>
      <c r="N128" s="5">
        <f t="shared" si="199"/>
        <v>0.52241551125612096</v>
      </c>
      <c r="O128" s="5"/>
      <c r="P128" s="5">
        <f t="shared" si="200"/>
        <v>0.55968834864019967</v>
      </c>
      <c r="Q128" s="5"/>
      <c r="R128" s="5">
        <f t="shared" si="201"/>
        <v>0.59243618785423291</v>
      </c>
      <c r="S128" s="5"/>
      <c r="T128" s="5">
        <f t="shared" si="202"/>
        <v>0.61302025025826601</v>
      </c>
      <c r="U128" s="5"/>
      <c r="V128" s="5">
        <f t="shared" si="203"/>
        <v>0.6350830709071883</v>
      </c>
      <c r="W128" s="5"/>
      <c r="X128" s="5">
        <f t="shared" si="204"/>
        <v>0.65349122586830932</v>
      </c>
      <c r="Y128" s="5"/>
      <c r="Z128" s="5">
        <f t="shared" si="205"/>
        <v>0.66556643143122407</v>
      </c>
      <c r="AA128" s="5"/>
      <c r="AB128" s="5">
        <f t="shared" si="206"/>
        <v>0.68119748921373913</v>
      </c>
      <c r="AC128" s="5"/>
      <c r="AD128" s="5">
        <f t="shared" si="207"/>
        <v>0.69918771376631095</v>
      </c>
      <c r="AE128" s="5"/>
      <c r="AF128" s="5">
        <f t="shared" si="208"/>
        <v>0.72397761821340534</v>
      </c>
      <c r="AG128" s="5"/>
      <c r="AH128" s="5">
        <f t="shared" si="209"/>
        <v>0.7427942441944575</v>
      </c>
      <c r="AI128" s="5"/>
      <c r="AJ128" s="5">
        <f t="shared" si="210"/>
        <v>0.75557449231659779</v>
      </c>
      <c r="AK128" s="5"/>
      <c r="AL128" s="5">
        <f t="shared" si="211"/>
        <v>0.7651863569290529</v>
      </c>
      <c r="AM128" s="5"/>
      <c r="AN128" s="5">
        <f t="shared" si="212"/>
        <v>0.7774577425494974</v>
      </c>
      <c r="AO128" s="5"/>
      <c r="AP128" s="5">
        <f t="shared" si="213"/>
        <v>0.78367413410698883</v>
      </c>
      <c r="AQ128" s="5"/>
      <c r="AR128" s="5">
        <f t="shared" si="214"/>
        <v>0.78964174408854071</v>
      </c>
      <c r="AS128" s="5"/>
      <c r="AT128" s="5">
        <f t="shared" si="215"/>
        <v>0.80136802873323487</v>
      </c>
      <c r="AU128" s="5"/>
      <c r="AV128" s="5">
        <f t="shared" si="216"/>
        <v>0.808450618265944</v>
      </c>
      <c r="AW128" s="5"/>
      <c r="AX128" s="5">
        <f t="shared" si="217"/>
        <v>0.81544414254240516</v>
      </c>
      <c r="AY128" s="5"/>
      <c r="AZ128" s="5">
        <f t="shared" si="218"/>
        <v>0.82072219987388029</v>
      </c>
      <c r="BA128" s="5"/>
      <c r="BB128" s="5">
        <f t="shared" si="219"/>
        <v>0.82596003448775912</v>
      </c>
      <c r="BC128" s="5"/>
      <c r="BD128" s="5">
        <f t="shared" si="220"/>
        <v>0.83095520407118972</v>
      </c>
      <c r="BE128" s="5"/>
      <c r="BF128" s="5">
        <f t="shared" si="221"/>
        <v>0.83446050869814969</v>
      </c>
      <c r="BG128" s="5"/>
      <c r="BH128" s="5">
        <f t="shared" si="222"/>
        <v>0.83769605114360612</v>
      </c>
    </row>
    <row r="129" spans="2:60" x14ac:dyDescent="0.3">
      <c r="B129" s="23"/>
      <c r="C129" s="27"/>
      <c r="D129" s="31">
        <f t="shared" si="223"/>
        <v>2.9999999999999956</v>
      </c>
      <c r="E129" s="5"/>
      <c r="F129" s="5">
        <f t="shared" si="224"/>
        <v>8.5771817719368051E-2</v>
      </c>
      <c r="G129" s="5"/>
      <c r="H129" s="5">
        <f t="shared" si="196"/>
        <v>0.35786268734318655</v>
      </c>
      <c r="I129" s="5"/>
      <c r="J129" s="5">
        <f t="shared" si="197"/>
        <v>0.44155795665956793</v>
      </c>
      <c r="K129" s="5"/>
      <c r="L129" s="5">
        <f t="shared" si="198"/>
        <v>0.48220467879862777</v>
      </c>
      <c r="M129" s="5"/>
      <c r="N129" s="5">
        <f t="shared" si="199"/>
        <v>0.52241551125612096</v>
      </c>
      <c r="O129" s="5"/>
      <c r="P129" s="5">
        <f t="shared" si="200"/>
        <v>0.55968834864019967</v>
      </c>
      <c r="Q129" s="5"/>
      <c r="R129" s="5">
        <f t="shared" si="201"/>
        <v>0.59243618785423291</v>
      </c>
      <c r="S129" s="5"/>
      <c r="T129" s="5">
        <f t="shared" si="202"/>
        <v>0.61302025025826601</v>
      </c>
      <c r="U129" s="5"/>
      <c r="V129" s="5">
        <f t="shared" si="203"/>
        <v>0.6350830709071883</v>
      </c>
      <c r="W129" s="5"/>
      <c r="X129" s="5">
        <f t="shared" si="204"/>
        <v>0.65349122586830932</v>
      </c>
      <c r="Y129" s="5"/>
      <c r="Z129" s="5">
        <f t="shared" si="205"/>
        <v>0.66556643143122407</v>
      </c>
      <c r="AA129" s="5"/>
      <c r="AB129" s="5">
        <f t="shared" si="206"/>
        <v>0.68119748921373913</v>
      </c>
      <c r="AC129" s="5"/>
      <c r="AD129" s="5">
        <f t="shared" si="207"/>
        <v>0.69918771376631095</v>
      </c>
      <c r="AE129" s="5"/>
      <c r="AF129" s="5">
        <f t="shared" si="208"/>
        <v>0.72397761821340534</v>
      </c>
      <c r="AG129" s="5"/>
      <c r="AH129" s="5">
        <f t="shared" si="209"/>
        <v>0.7427863308920708</v>
      </c>
      <c r="AI129" s="5"/>
      <c r="AJ129" s="5">
        <f t="shared" si="210"/>
        <v>0.75556874566041266</v>
      </c>
      <c r="AK129" s="5"/>
      <c r="AL129" s="5">
        <f t="shared" si="211"/>
        <v>0.7651515263478158</v>
      </c>
      <c r="AM129" s="5"/>
      <c r="AN129" s="5">
        <f t="shared" si="212"/>
        <v>0.77743192368494796</v>
      </c>
      <c r="AO129" s="5"/>
      <c r="AP129" s="5">
        <f t="shared" si="213"/>
        <v>0.7835841708478074</v>
      </c>
      <c r="AQ129" s="5"/>
      <c r="AR129" s="5">
        <f t="shared" si="214"/>
        <v>0.78957331383453955</v>
      </c>
      <c r="AS129" s="5"/>
      <c r="AT129" s="5">
        <f t="shared" si="215"/>
        <v>0.80118886907816622</v>
      </c>
      <c r="AU129" s="5"/>
      <c r="AV129" s="5">
        <f t="shared" si="216"/>
        <v>0.80831115457336156</v>
      </c>
      <c r="AW129" s="5"/>
      <c r="AX129" s="5">
        <f t="shared" si="217"/>
        <v>0.81513934858969295</v>
      </c>
      <c r="AY129" s="5"/>
      <c r="AZ129" s="5">
        <f t="shared" si="218"/>
        <v>0.82048014457991469</v>
      </c>
      <c r="BA129" s="5"/>
      <c r="BB129" s="5">
        <f t="shared" si="219"/>
        <v>0.8254937580776075</v>
      </c>
      <c r="BC129" s="5"/>
      <c r="BD129" s="5">
        <f t="shared" si="220"/>
        <v>0.83057835580872508</v>
      </c>
      <c r="BE129" s="5"/>
      <c r="BF129" s="5">
        <f t="shared" si="221"/>
        <v>0.83379931158390985</v>
      </c>
      <c r="BG129" s="5"/>
      <c r="BH129" s="5">
        <f t="shared" si="222"/>
        <v>0.83715299679216981</v>
      </c>
    </row>
    <row r="130" spans="2:60" x14ac:dyDescent="0.3">
      <c r="B130" s="23"/>
      <c r="C130" s="27"/>
      <c r="D130" s="31">
        <f t="shared" si="223"/>
        <v>2.7999999999999954</v>
      </c>
      <c r="E130" s="5"/>
      <c r="F130" s="5">
        <f t="shared" si="224"/>
        <v>8.5771817719368051E-2</v>
      </c>
      <c r="G130" s="5"/>
      <c r="H130" s="5">
        <f t="shared" si="196"/>
        <v>0.35786268734318655</v>
      </c>
      <c r="I130" s="5"/>
      <c r="J130" s="5">
        <f t="shared" si="197"/>
        <v>0.44155795665956793</v>
      </c>
      <c r="K130" s="5"/>
      <c r="L130" s="5">
        <f t="shared" si="198"/>
        <v>0.48220467879862777</v>
      </c>
      <c r="M130" s="5"/>
      <c r="N130" s="5">
        <f t="shared" si="199"/>
        <v>0.52241551125612096</v>
      </c>
      <c r="O130" s="5"/>
      <c r="P130" s="5">
        <f t="shared" si="200"/>
        <v>0.55968834864019967</v>
      </c>
      <c r="Q130" s="5"/>
      <c r="R130" s="5">
        <f t="shared" si="201"/>
        <v>0.59243618785423291</v>
      </c>
      <c r="S130" s="5"/>
      <c r="T130" s="5">
        <f t="shared" si="202"/>
        <v>0.61302025025826601</v>
      </c>
      <c r="U130" s="5"/>
      <c r="V130" s="5">
        <f t="shared" si="203"/>
        <v>0.6350830709071883</v>
      </c>
      <c r="W130" s="5"/>
      <c r="X130" s="5">
        <f t="shared" si="204"/>
        <v>0.65349122586830932</v>
      </c>
      <c r="Y130" s="5"/>
      <c r="Z130" s="5">
        <f t="shared" si="205"/>
        <v>0.66556643143122407</v>
      </c>
      <c r="AA130" s="5"/>
      <c r="AB130" s="5">
        <f t="shared" si="206"/>
        <v>0.68119748921373913</v>
      </c>
      <c r="AC130" s="5"/>
      <c r="AD130" s="5">
        <f t="shared" si="207"/>
        <v>0.69918771376631095</v>
      </c>
      <c r="AE130" s="5"/>
      <c r="AF130" s="5">
        <f t="shared" si="208"/>
        <v>0.72396188744972134</v>
      </c>
      <c r="AG130" s="5"/>
      <c r="AH130" s="5">
        <f t="shared" si="209"/>
        <v>0.74277490056640105</v>
      </c>
      <c r="AI130" s="5"/>
      <c r="AJ130" s="5">
        <f t="shared" si="210"/>
        <v>0.75550341060009363</v>
      </c>
      <c r="AK130" s="5"/>
      <c r="AL130" s="5">
        <f t="shared" si="211"/>
        <v>0.76510301232394939</v>
      </c>
      <c r="AM130" s="5"/>
      <c r="AN130" s="5">
        <f t="shared" si="212"/>
        <v>0.77727125313632528</v>
      </c>
      <c r="AO130" s="5"/>
      <c r="AP130" s="5">
        <f t="shared" si="213"/>
        <v>0.7834615344208874</v>
      </c>
      <c r="AQ130" s="5"/>
      <c r="AR130" s="5">
        <f t="shared" si="214"/>
        <v>0.78926635912321985</v>
      </c>
      <c r="AS130" s="5"/>
      <c r="AT130" s="5">
        <f t="shared" si="215"/>
        <v>0.80094884932854971</v>
      </c>
      <c r="AU130" s="5"/>
      <c r="AV130" s="5">
        <f t="shared" si="216"/>
        <v>0.80780726697640304</v>
      </c>
      <c r="AW130" s="5"/>
      <c r="AX130" s="5">
        <f t="shared" si="217"/>
        <v>0.81473712658764819</v>
      </c>
      <c r="AY130" s="5"/>
      <c r="AZ130" s="5">
        <f t="shared" si="218"/>
        <v>0.81973292678828991</v>
      </c>
      <c r="BA130" s="5"/>
      <c r="BB130" s="5">
        <f t="shared" si="219"/>
        <v>0.82488648891705241</v>
      </c>
      <c r="BC130" s="5"/>
      <c r="BD130" s="5">
        <f t="shared" si="220"/>
        <v>0.82954727500317071</v>
      </c>
      <c r="BE130" s="5"/>
      <c r="BF130" s="5">
        <f t="shared" si="221"/>
        <v>0.83294737351119486</v>
      </c>
      <c r="BG130" s="5"/>
      <c r="BH130" s="5">
        <f t="shared" si="222"/>
        <v>0.83580324987866805</v>
      </c>
    </row>
    <row r="131" spans="2:60" x14ac:dyDescent="0.3">
      <c r="B131" s="23"/>
      <c r="C131" s="27"/>
      <c r="D131" s="31">
        <f t="shared" si="223"/>
        <v>2.5999999999999952</v>
      </c>
      <c r="E131" s="5"/>
      <c r="F131" s="5">
        <f t="shared" si="224"/>
        <v>8.5771817719368051E-2</v>
      </c>
      <c r="G131" s="5"/>
      <c r="H131" s="5">
        <f t="shared" si="196"/>
        <v>0.35786268734318655</v>
      </c>
      <c r="I131" s="5"/>
      <c r="J131" s="5">
        <f t="shared" si="197"/>
        <v>0.44155795665956793</v>
      </c>
      <c r="K131" s="5"/>
      <c r="L131" s="5">
        <f t="shared" si="198"/>
        <v>0.48220467879862777</v>
      </c>
      <c r="M131" s="5"/>
      <c r="N131" s="5">
        <f t="shared" si="199"/>
        <v>0.52241551125612096</v>
      </c>
      <c r="O131" s="5"/>
      <c r="P131" s="5">
        <f t="shared" si="200"/>
        <v>0.55968834864019967</v>
      </c>
      <c r="Q131" s="5"/>
      <c r="R131" s="5">
        <f t="shared" si="201"/>
        <v>0.59243618785423291</v>
      </c>
      <c r="S131" s="5"/>
      <c r="T131" s="5">
        <f t="shared" si="202"/>
        <v>0.61302025025826601</v>
      </c>
      <c r="U131" s="5"/>
      <c r="V131" s="5">
        <f t="shared" si="203"/>
        <v>0.6350830709071883</v>
      </c>
      <c r="W131" s="5"/>
      <c r="X131" s="5">
        <f t="shared" si="204"/>
        <v>0.65349122586830932</v>
      </c>
      <c r="Y131" s="5"/>
      <c r="Z131" s="5">
        <f t="shared" si="205"/>
        <v>0.66556643143122407</v>
      </c>
      <c r="AA131" s="5"/>
      <c r="AB131" s="5">
        <f t="shared" si="206"/>
        <v>0.68119748921373913</v>
      </c>
      <c r="AC131" s="5"/>
      <c r="AD131" s="5">
        <f t="shared" si="207"/>
        <v>0.69915646426807854</v>
      </c>
      <c r="AE131" s="5"/>
      <c r="AF131" s="5">
        <f t="shared" si="208"/>
        <v>0.72393916523551138</v>
      </c>
      <c r="AG131" s="5"/>
      <c r="AH131" s="5">
        <f t="shared" si="209"/>
        <v>0.74265285985848106</v>
      </c>
      <c r="AI131" s="5"/>
      <c r="AJ131" s="5">
        <f t="shared" si="210"/>
        <v>0.75541261343236987</v>
      </c>
      <c r="AK131" s="5"/>
      <c r="AL131" s="5">
        <f t="shared" si="211"/>
        <v>0.76481797022035491</v>
      </c>
      <c r="AM131" s="5"/>
      <c r="AN131" s="5">
        <f t="shared" si="212"/>
        <v>0.77705283045161455</v>
      </c>
      <c r="AO131" s="5"/>
      <c r="AP131" s="5">
        <f t="shared" si="213"/>
        <v>0.7829399738543934</v>
      </c>
      <c r="AQ131" s="5"/>
      <c r="AR131" s="5">
        <f t="shared" si="214"/>
        <v>0.78885648063050651</v>
      </c>
      <c r="AS131" s="5"/>
      <c r="AT131" s="5">
        <f t="shared" si="215"/>
        <v>0.80012361704022061</v>
      </c>
      <c r="AU131" s="5"/>
      <c r="AV131" s="5">
        <f t="shared" si="216"/>
        <v>0.80714480948097267</v>
      </c>
      <c r="AW131" s="5"/>
      <c r="AX131" s="5">
        <f t="shared" si="217"/>
        <v>0.81355187603204548</v>
      </c>
      <c r="AY131" s="5"/>
      <c r="AZ131" s="5">
        <f t="shared" si="218"/>
        <v>0.81876379639728469</v>
      </c>
      <c r="BA131" s="5"/>
      <c r="BB131" s="5">
        <f t="shared" si="219"/>
        <v>0.82329596492849466</v>
      </c>
      <c r="BC131" s="5"/>
      <c r="BD131" s="5">
        <f t="shared" si="220"/>
        <v>0.82822442873243185</v>
      </c>
      <c r="BE131" s="5"/>
      <c r="BF131" s="5">
        <f t="shared" si="221"/>
        <v>0.83091534408820478</v>
      </c>
      <c r="BG131" s="5"/>
      <c r="BH131" s="5">
        <f t="shared" si="222"/>
        <v>0.83408714239994419</v>
      </c>
    </row>
    <row r="132" spans="2:60" x14ac:dyDescent="0.3">
      <c r="B132" s="23"/>
      <c r="C132" s="27"/>
      <c r="D132" s="31">
        <f t="shared" si="223"/>
        <v>2.399999999999995</v>
      </c>
      <c r="E132" s="5"/>
      <c r="F132" s="5">
        <f t="shared" si="224"/>
        <v>8.5771817719368051E-2</v>
      </c>
      <c r="G132" s="5"/>
      <c r="H132" s="5">
        <f t="shared" si="196"/>
        <v>0.35786268734318655</v>
      </c>
      <c r="I132" s="5"/>
      <c r="J132" s="5">
        <f t="shared" si="197"/>
        <v>0.44155795665956793</v>
      </c>
      <c r="K132" s="5"/>
      <c r="L132" s="5">
        <f t="shared" si="198"/>
        <v>0.48220467879862777</v>
      </c>
      <c r="M132" s="5"/>
      <c r="N132" s="5">
        <f t="shared" si="199"/>
        <v>0.52241551125612096</v>
      </c>
      <c r="O132" s="5"/>
      <c r="P132" s="5">
        <f t="shared" si="200"/>
        <v>0.55968834864019967</v>
      </c>
      <c r="Q132" s="5"/>
      <c r="R132" s="5">
        <f t="shared" si="201"/>
        <v>0.59243618785423291</v>
      </c>
      <c r="S132" s="5"/>
      <c r="T132" s="5">
        <f t="shared" si="202"/>
        <v>0.61302025025826601</v>
      </c>
      <c r="U132" s="5"/>
      <c r="V132" s="5">
        <f t="shared" si="203"/>
        <v>0.6350830709071883</v>
      </c>
      <c r="W132" s="5"/>
      <c r="X132" s="5">
        <f t="shared" si="204"/>
        <v>0.65349122586830932</v>
      </c>
      <c r="Y132" s="5"/>
      <c r="Z132" s="5">
        <f t="shared" si="205"/>
        <v>0.66556643143122407</v>
      </c>
      <c r="AA132" s="5"/>
      <c r="AB132" s="5">
        <f t="shared" si="206"/>
        <v>0.68113546283146487</v>
      </c>
      <c r="AC132" s="5"/>
      <c r="AD132" s="5">
        <f t="shared" si="207"/>
        <v>0.69911132610396509</v>
      </c>
      <c r="AE132" s="5"/>
      <c r="AF132" s="5">
        <f t="shared" si="208"/>
        <v>0.72371229266593617</v>
      </c>
      <c r="AG132" s="5"/>
      <c r="AH132" s="5">
        <f t="shared" si="209"/>
        <v>0.74248369103856904</v>
      </c>
      <c r="AI132" s="5"/>
      <c r="AJ132" s="5">
        <f t="shared" si="210"/>
        <v>0.75491070932217808</v>
      </c>
      <c r="AK132" s="5"/>
      <c r="AL132" s="5">
        <f t="shared" si="211"/>
        <v>0.76443163509989676</v>
      </c>
      <c r="AM132" s="5"/>
      <c r="AN132" s="5">
        <f t="shared" si="212"/>
        <v>0.77617476590339185</v>
      </c>
      <c r="AO132" s="5"/>
      <c r="AP132" s="5">
        <f t="shared" si="213"/>
        <v>0.78224603879801935</v>
      </c>
      <c r="AQ132" s="5"/>
      <c r="AR132" s="5">
        <f t="shared" si="214"/>
        <v>0.78751892141241087</v>
      </c>
      <c r="AS132" s="5"/>
      <c r="AT132" s="5">
        <f t="shared" si="215"/>
        <v>0.79904316973474376</v>
      </c>
      <c r="AU132" s="5"/>
      <c r="AV132" s="5">
        <f t="shared" si="216"/>
        <v>0.80528563009300858</v>
      </c>
      <c r="AW132" s="5"/>
      <c r="AX132" s="5">
        <f t="shared" si="217"/>
        <v>0.81202153241113073</v>
      </c>
      <c r="AY132" s="5"/>
      <c r="AZ132" s="5">
        <f t="shared" si="218"/>
        <v>0.81633874724095057</v>
      </c>
      <c r="BA132" s="5"/>
      <c r="BB132" s="5">
        <f t="shared" si="219"/>
        <v>0.82126441982499776</v>
      </c>
      <c r="BC132" s="5"/>
      <c r="BD132" s="5">
        <f t="shared" si="220"/>
        <v>0.82520142460836432</v>
      </c>
      <c r="BE132" s="5"/>
      <c r="BF132" s="5">
        <f t="shared" si="221"/>
        <v>0.82834303561795375</v>
      </c>
      <c r="BG132" s="5"/>
      <c r="BH132" s="5">
        <f t="shared" si="222"/>
        <v>0.83044566169643341</v>
      </c>
    </row>
    <row r="133" spans="2:60" x14ac:dyDescent="0.3">
      <c r="B133" s="23"/>
      <c r="C133" s="27"/>
      <c r="D133" s="31">
        <f t="shared" si="223"/>
        <v>2.1999999999999948</v>
      </c>
      <c r="E133" s="5"/>
      <c r="F133" s="5">
        <f t="shared" si="224"/>
        <v>8.5771817719368051E-2</v>
      </c>
      <c r="G133" s="5"/>
      <c r="H133" s="5">
        <f t="shared" si="196"/>
        <v>0.35786268734318655</v>
      </c>
      <c r="I133" s="5"/>
      <c r="J133" s="5">
        <f t="shared" si="197"/>
        <v>0.44155795665956793</v>
      </c>
      <c r="K133" s="5"/>
      <c r="L133" s="5">
        <f t="shared" si="198"/>
        <v>0.48220467879862777</v>
      </c>
      <c r="M133" s="5"/>
      <c r="N133" s="5">
        <f t="shared" si="199"/>
        <v>0.52241551125612096</v>
      </c>
      <c r="O133" s="5"/>
      <c r="P133" s="5">
        <f t="shared" si="200"/>
        <v>0.55968834864019967</v>
      </c>
      <c r="Q133" s="5"/>
      <c r="R133" s="5">
        <f t="shared" si="201"/>
        <v>0.59243618785423291</v>
      </c>
      <c r="S133" s="5"/>
      <c r="T133" s="5">
        <f t="shared" si="202"/>
        <v>0.61302025025826601</v>
      </c>
      <c r="U133" s="5"/>
      <c r="V133" s="5">
        <f t="shared" si="203"/>
        <v>0.6350830709071883</v>
      </c>
      <c r="W133" s="5"/>
      <c r="X133" s="5">
        <f t="shared" si="204"/>
        <v>0.65349122586830932</v>
      </c>
      <c r="Y133" s="5"/>
      <c r="Z133" s="5">
        <f t="shared" si="205"/>
        <v>0.66544344138389566</v>
      </c>
      <c r="AA133" s="5"/>
      <c r="AB133" s="5">
        <f t="shared" si="206"/>
        <v>0.68104586916817977</v>
      </c>
      <c r="AC133" s="5"/>
      <c r="AD133" s="5">
        <f t="shared" si="207"/>
        <v>0.69869188839435559</v>
      </c>
      <c r="AE133" s="5"/>
      <c r="AF133" s="5">
        <f t="shared" si="208"/>
        <v>0.72339872610983635</v>
      </c>
      <c r="AG133" s="5"/>
      <c r="AH133" s="5">
        <f t="shared" si="209"/>
        <v>0.74160742468761076</v>
      </c>
      <c r="AI133" s="5"/>
      <c r="AJ133" s="5">
        <f t="shared" si="210"/>
        <v>0.75423269230243872</v>
      </c>
      <c r="AK133" s="5"/>
      <c r="AL133" s="5">
        <f t="shared" si="211"/>
        <v>0.76296857298088494</v>
      </c>
      <c r="AM133" s="5"/>
      <c r="AN133" s="5">
        <f t="shared" si="212"/>
        <v>0.77501115408570054</v>
      </c>
      <c r="AO133" s="5"/>
      <c r="AP133" s="5">
        <f t="shared" si="213"/>
        <v>0.78010287619867191</v>
      </c>
      <c r="AQ133" s="5"/>
      <c r="AR133" s="5">
        <f t="shared" si="214"/>
        <v>0.78577569626511345</v>
      </c>
      <c r="AS133" s="5"/>
      <c r="AT133" s="5">
        <f t="shared" si="215"/>
        <v>0.79616252632802864</v>
      </c>
      <c r="AU133" s="5"/>
      <c r="AV133" s="5">
        <f t="shared" si="216"/>
        <v>0.80289699896496058</v>
      </c>
      <c r="AW133" s="5"/>
      <c r="AX133" s="5">
        <f t="shared" si="217"/>
        <v>0.80837093561634898</v>
      </c>
      <c r="AY133" s="5"/>
      <c r="AZ133" s="5">
        <f t="shared" si="218"/>
        <v>0.81325600326132486</v>
      </c>
      <c r="BA133" s="5"/>
      <c r="BB133" s="5">
        <f t="shared" si="219"/>
        <v>0.8168246539912758</v>
      </c>
      <c r="BC133" s="5"/>
      <c r="BD133" s="5">
        <f t="shared" si="220"/>
        <v>0.82139227973488083</v>
      </c>
      <c r="BE133" s="5"/>
      <c r="BF133" s="5">
        <f t="shared" si="221"/>
        <v>0.82310901214806365</v>
      </c>
      <c r="BG133" s="5"/>
      <c r="BH133" s="5">
        <f t="shared" si="222"/>
        <v>0.82589323440560569</v>
      </c>
    </row>
    <row r="134" spans="2:60" x14ac:dyDescent="0.3">
      <c r="B134" s="23"/>
      <c r="C134" s="27"/>
      <c r="D134" s="31">
        <f t="shared" si="223"/>
        <v>1.9999999999999949</v>
      </c>
      <c r="E134" s="5"/>
      <c r="F134" s="5">
        <f t="shared" si="224"/>
        <v>8.5771817719368051E-2</v>
      </c>
      <c r="G134" s="5"/>
      <c r="H134" s="5">
        <f t="shared" si="196"/>
        <v>0.35786268734318655</v>
      </c>
      <c r="I134" s="5"/>
      <c r="J134" s="5">
        <f t="shared" si="197"/>
        <v>0.44155795665956793</v>
      </c>
      <c r="K134" s="5"/>
      <c r="L134" s="5">
        <f t="shared" si="198"/>
        <v>0.48220467879862777</v>
      </c>
      <c r="M134" s="5"/>
      <c r="N134" s="5">
        <f t="shared" si="199"/>
        <v>0.52241551125612096</v>
      </c>
      <c r="O134" s="5"/>
      <c r="P134" s="5">
        <f t="shared" si="200"/>
        <v>0.55968834864019967</v>
      </c>
      <c r="Q134" s="5"/>
      <c r="R134" s="5">
        <f t="shared" si="201"/>
        <v>0.59243618785423291</v>
      </c>
      <c r="S134" s="5"/>
      <c r="T134" s="5">
        <f t="shared" si="202"/>
        <v>0.61302025025826601</v>
      </c>
      <c r="U134" s="5"/>
      <c r="V134" s="5">
        <f t="shared" si="203"/>
        <v>0.6350830709071883</v>
      </c>
      <c r="W134" s="5"/>
      <c r="X134" s="5">
        <f t="shared" si="204"/>
        <v>0.65324766014131264</v>
      </c>
      <c r="Y134" s="5"/>
      <c r="Z134" s="5">
        <f t="shared" si="205"/>
        <v>0.66526578909331002</v>
      </c>
      <c r="AA134" s="5"/>
      <c r="AB134" s="5">
        <f t="shared" si="206"/>
        <v>0.6802753636639286</v>
      </c>
      <c r="AC134" s="5"/>
      <c r="AD134" s="5">
        <f t="shared" si="207"/>
        <v>0.69811411989370153</v>
      </c>
      <c r="AE134" s="5"/>
      <c r="AF134" s="5">
        <f t="shared" si="208"/>
        <v>0.72188367878080928</v>
      </c>
      <c r="AG134" s="5"/>
      <c r="AH134" s="5">
        <f t="shared" si="209"/>
        <v>0.74042799092965805</v>
      </c>
      <c r="AI134" s="5"/>
      <c r="AJ134" s="5">
        <f t="shared" si="210"/>
        <v>0.75182307515900437</v>
      </c>
      <c r="AK134" s="5"/>
      <c r="AL134" s="5">
        <f t="shared" si="211"/>
        <v>0.76103831903497143</v>
      </c>
      <c r="AM134" s="5"/>
      <c r="AN134" s="5">
        <f t="shared" si="212"/>
        <v>0.77162091624834717</v>
      </c>
      <c r="AO134" s="5"/>
      <c r="AP134" s="5">
        <f t="shared" si="213"/>
        <v>0.77732390899364612</v>
      </c>
      <c r="AQ134" s="5"/>
      <c r="AR134" s="5">
        <f t="shared" si="214"/>
        <v>0.78137274063058104</v>
      </c>
      <c r="AS134" s="5"/>
      <c r="AT134" s="5">
        <f t="shared" si="215"/>
        <v>0.79248174935403892</v>
      </c>
      <c r="AU134" s="5"/>
      <c r="AV134" s="5">
        <f t="shared" si="216"/>
        <v>0.79747788202964109</v>
      </c>
      <c r="AW134" s="5"/>
      <c r="AX134" s="5">
        <f t="shared" si="217"/>
        <v>0.8037539072275679</v>
      </c>
      <c r="AY134" s="5"/>
      <c r="AZ134" s="5">
        <f t="shared" si="218"/>
        <v>0.80682603198897385</v>
      </c>
      <c r="BA134" s="5"/>
      <c r="BB134" s="5">
        <f t="shared" si="219"/>
        <v>0.81125771539464187</v>
      </c>
      <c r="BC134" s="5"/>
      <c r="BD134" s="5">
        <f t="shared" si="220"/>
        <v>0.81397292735047544</v>
      </c>
      <c r="BE134" s="5"/>
      <c r="BF134" s="5">
        <f t="shared" si="221"/>
        <v>0.81659760435579198</v>
      </c>
      <c r="BG134" s="5"/>
      <c r="BH134" s="5">
        <f t="shared" si="222"/>
        <v>0.81752086928577861</v>
      </c>
    </row>
    <row r="135" spans="2:60" x14ac:dyDescent="0.3">
      <c r="B135" s="23"/>
      <c r="C135" s="27"/>
      <c r="D135" s="31">
        <f t="shared" si="223"/>
        <v>1.7999999999999949</v>
      </c>
      <c r="E135" s="5"/>
      <c r="F135" s="5">
        <f t="shared" si="224"/>
        <v>8.5771817719368051E-2</v>
      </c>
      <c r="G135" s="5"/>
      <c r="H135" s="5">
        <f t="shared" si="196"/>
        <v>0.35786268734318655</v>
      </c>
      <c r="I135" s="5"/>
      <c r="J135" s="5">
        <f t="shared" si="197"/>
        <v>0.44155795665956793</v>
      </c>
      <c r="K135" s="5"/>
      <c r="L135" s="5">
        <f t="shared" si="198"/>
        <v>0.48220467879862777</v>
      </c>
      <c r="M135" s="5"/>
      <c r="N135" s="5">
        <f t="shared" si="199"/>
        <v>0.52241551125612096</v>
      </c>
      <c r="O135" s="5"/>
      <c r="P135" s="5">
        <f t="shared" si="200"/>
        <v>0.55968834864019967</v>
      </c>
      <c r="Q135" s="5"/>
      <c r="R135" s="5">
        <f t="shared" si="201"/>
        <v>0.59243618785423291</v>
      </c>
      <c r="S135" s="5"/>
      <c r="T135" s="5">
        <f t="shared" si="202"/>
        <v>0.61302025025826601</v>
      </c>
      <c r="U135" s="5"/>
      <c r="V135" s="5">
        <f t="shared" si="203"/>
        <v>0.63460149258230492</v>
      </c>
      <c r="W135" s="5"/>
      <c r="X135" s="5">
        <f t="shared" si="204"/>
        <v>0.65289584298009551</v>
      </c>
      <c r="Y135" s="5"/>
      <c r="Z135" s="5">
        <f t="shared" si="205"/>
        <v>0.66386096944160233</v>
      </c>
      <c r="AA135" s="5"/>
      <c r="AB135" s="5">
        <f t="shared" si="206"/>
        <v>0.67921815843716549</v>
      </c>
      <c r="AC135" s="5"/>
      <c r="AD135" s="5">
        <f t="shared" si="207"/>
        <v>0.69552388370687501</v>
      </c>
      <c r="AE135" s="5"/>
      <c r="AF135" s="5">
        <f t="shared" si="208"/>
        <v>0.71985266240294898</v>
      </c>
      <c r="AG135" s="5"/>
      <c r="AH135" s="5">
        <f t="shared" si="209"/>
        <v>0.73651143380171424</v>
      </c>
      <c r="AI135" s="5"/>
      <c r="AJ135" s="5">
        <f t="shared" si="210"/>
        <v>0.74865985036447358</v>
      </c>
      <c r="AK135" s="5"/>
      <c r="AL135" s="5">
        <f t="shared" si="211"/>
        <v>0.75575188979698282</v>
      </c>
      <c r="AM135" s="5"/>
      <c r="AN135" s="5">
        <f t="shared" si="212"/>
        <v>0.7672499632344848</v>
      </c>
      <c r="AO135" s="5"/>
      <c r="AP135" s="5">
        <f t="shared" si="213"/>
        <v>0.7706953793054433</v>
      </c>
      <c r="AQ135" s="5"/>
      <c r="AR135" s="5">
        <f t="shared" si="214"/>
        <v>0.77578095345419251</v>
      </c>
      <c r="AS135" s="5"/>
      <c r="AT135" s="5">
        <f t="shared" si="215"/>
        <v>0.7845605444457332</v>
      </c>
      <c r="AU135" s="5"/>
      <c r="AV135" s="5">
        <f t="shared" si="216"/>
        <v>0.79066141529681377</v>
      </c>
      <c r="AW135" s="5"/>
      <c r="AX135" s="5">
        <f t="shared" si="217"/>
        <v>0.79458234763049762</v>
      </c>
      <c r="AY135" s="5"/>
      <c r="AZ135" s="5">
        <f t="shared" si="218"/>
        <v>0.79880563295506235</v>
      </c>
      <c r="BA135" s="5"/>
      <c r="BB135" s="5">
        <f t="shared" si="219"/>
        <v>0.80089735415761876</v>
      </c>
      <c r="BC135" s="5"/>
      <c r="BD135" s="5">
        <f t="shared" si="220"/>
        <v>0.80479121692304112</v>
      </c>
      <c r="BE135" s="5"/>
      <c r="BF135" s="5">
        <f t="shared" si="221"/>
        <v>0.80512577305058541</v>
      </c>
      <c r="BG135" s="5"/>
      <c r="BH135" s="5">
        <f t="shared" si="222"/>
        <v>0.80724657097972152</v>
      </c>
    </row>
    <row r="136" spans="2:60" x14ac:dyDescent="0.3">
      <c r="B136" s="23"/>
      <c r="C136" s="27"/>
      <c r="D136" s="31">
        <f t="shared" si="223"/>
        <v>1.599999999999995</v>
      </c>
      <c r="E136" s="5"/>
      <c r="F136" s="5">
        <f t="shared" si="224"/>
        <v>8.5771817719368051E-2</v>
      </c>
      <c r="G136" s="5"/>
      <c r="H136" s="5">
        <f t="shared" si="196"/>
        <v>0.35786268734318655</v>
      </c>
      <c r="I136" s="5"/>
      <c r="J136" s="5">
        <f t="shared" si="197"/>
        <v>0.44155795665956793</v>
      </c>
      <c r="K136" s="5"/>
      <c r="L136" s="5">
        <f t="shared" si="198"/>
        <v>0.48220467879862777</v>
      </c>
      <c r="M136" s="5"/>
      <c r="N136" s="5">
        <f t="shared" si="199"/>
        <v>0.52241551125612096</v>
      </c>
      <c r="O136" s="5"/>
      <c r="P136" s="5">
        <f t="shared" si="200"/>
        <v>0.55968834864019967</v>
      </c>
      <c r="Q136" s="5"/>
      <c r="R136" s="5">
        <f t="shared" si="201"/>
        <v>0.59243618785423291</v>
      </c>
      <c r="S136" s="5"/>
      <c r="T136" s="5">
        <f t="shared" si="202"/>
        <v>0.6120700588637864</v>
      </c>
      <c r="U136" s="5"/>
      <c r="V136" s="5">
        <f t="shared" si="203"/>
        <v>0.63390587944636201</v>
      </c>
      <c r="W136" s="5"/>
      <c r="X136" s="5">
        <f t="shared" si="204"/>
        <v>0.65035734684762014</v>
      </c>
      <c r="Y136" s="5"/>
      <c r="Z136" s="5">
        <f t="shared" si="205"/>
        <v>0.66194232470327796</v>
      </c>
      <c r="AA136" s="5"/>
      <c r="AB136" s="5">
        <f t="shared" si="206"/>
        <v>0.67484736603290696</v>
      </c>
      <c r="AC136" s="5"/>
      <c r="AD136" s="5">
        <f t="shared" si="207"/>
        <v>0.69206699476906763</v>
      </c>
      <c r="AE136" s="5"/>
      <c r="AF136" s="5">
        <f t="shared" si="208"/>
        <v>0.71358203042600254</v>
      </c>
      <c r="AG136" s="5"/>
      <c r="AH136" s="5">
        <f t="shared" si="209"/>
        <v>0.731399088757552</v>
      </c>
      <c r="AI136" s="5"/>
      <c r="AJ136" s="5">
        <f t="shared" si="210"/>
        <v>0.74054937346529059</v>
      </c>
      <c r="AK136" s="5"/>
      <c r="AL136" s="5">
        <f t="shared" si="211"/>
        <v>0.74898018505909114</v>
      </c>
      <c r="AM136" s="5"/>
      <c r="AN136" s="5">
        <f t="shared" si="212"/>
        <v>0.75743888396709225</v>
      </c>
      <c r="AO136" s="5"/>
      <c r="AP136" s="5">
        <f t="shared" si="213"/>
        <v>0.76233423052473193</v>
      </c>
      <c r="AQ136" s="5"/>
      <c r="AR136" s="5">
        <f t="shared" si="214"/>
        <v>0.76439861809406795</v>
      </c>
      <c r="AS136" s="5"/>
      <c r="AT136" s="5">
        <f t="shared" si="215"/>
        <v>0.77465415572995944</v>
      </c>
      <c r="AU136" s="5"/>
      <c r="AV136" s="5">
        <f t="shared" si="216"/>
        <v>0.77779493887667039</v>
      </c>
      <c r="AW136" s="5"/>
      <c r="AX136" s="5">
        <f t="shared" si="217"/>
        <v>0.78320571035858144</v>
      </c>
      <c r="AY136" s="5"/>
      <c r="AZ136" s="5">
        <f t="shared" si="218"/>
        <v>0.78457207965465614</v>
      </c>
      <c r="BA136" s="5"/>
      <c r="BB136" s="5">
        <f t="shared" si="219"/>
        <v>0.78814861316226537</v>
      </c>
      <c r="BC136" s="5"/>
      <c r="BD136" s="5">
        <f t="shared" si="220"/>
        <v>0.78932321448697873</v>
      </c>
      <c r="BE136" s="5"/>
      <c r="BF136" s="5">
        <f t="shared" si="221"/>
        <v>0.79113629095565718</v>
      </c>
      <c r="BG136" s="5"/>
      <c r="BH136" s="5">
        <f t="shared" si="222"/>
        <v>0.7906586020985279</v>
      </c>
    </row>
    <row r="137" spans="2:60" x14ac:dyDescent="0.3">
      <c r="B137" s="23"/>
      <c r="C137" s="27"/>
      <c r="D137" s="31">
        <f t="shared" si="223"/>
        <v>1.399999999999995</v>
      </c>
      <c r="E137" s="5"/>
      <c r="F137" s="5">
        <f t="shared" si="224"/>
        <v>8.5771817719368051E-2</v>
      </c>
      <c r="G137" s="5"/>
      <c r="H137" s="5">
        <f t="shared" si="196"/>
        <v>0.35786268734318655</v>
      </c>
      <c r="I137" s="5"/>
      <c r="J137" s="5">
        <f t="shared" si="197"/>
        <v>0.44155795665956793</v>
      </c>
      <c r="K137" s="5"/>
      <c r="L137" s="5">
        <f t="shared" si="198"/>
        <v>0.48220467879862777</v>
      </c>
      <c r="M137" s="5"/>
      <c r="N137" s="5">
        <f t="shared" si="199"/>
        <v>0.52241551125612096</v>
      </c>
      <c r="O137" s="5"/>
      <c r="P137" s="5">
        <f t="shared" si="200"/>
        <v>0.55968834864019967</v>
      </c>
      <c r="Q137" s="5"/>
      <c r="R137" s="5">
        <f t="shared" si="201"/>
        <v>0.59056664556663474</v>
      </c>
      <c r="S137" s="5"/>
      <c r="T137" s="5">
        <f t="shared" si="202"/>
        <v>0.61069756018287147</v>
      </c>
      <c r="U137" s="5"/>
      <c r="V137" s="5">
        <f t="shared" si="203"/>
        <v>0.62936834145190423</v>
      </c>
      <c r="W137" s="5"/>
      <c r="X137" s="5">
        <f t="shared" si="204"/>
        <v>0.64690953866769108</v>
      </c>
      <c r="Y137" s="5"/>
      <c r="Z137" s="5">
        <f t="shared" si="205"/>
        <v>0.65468044568657124</v>
      </c>
      <c r="AA137" s="5"/>
      <c r="AB137" s="5">
        <f t="shared" si="206"/>
        <v>0.66904307501608806</v>
      </c>
      <c r="AC137" s="5"/>
      <c r="AD137" s="5">
        <f t="shared" si="207"/>
        <v>0.68220048652712939</v>
      </c>
      <c r="AE137" s="5"/>
      <c r="AF137" s="5">
        <f t="shared" si="208"/>
        <v>0.70545027431898255</v>
      </c>
      <c r="AG137" s="5"/>
      <c r="AH137" s="5">
        <f t="shared" si="209"/>
        <v>0.71918358763988799</v>
      </c>
      <c r="AI137" s="5"/>
      <c r="AJ137" s="5">
        <f t="shared" si="210"/>
        <v>0.73023677791600083</v>
      </c>
      <c r="AK137" s="5"/>
      <c r="AL137" s="5">
        <f t="shared" si="211"/>
        <v>0.7347341219189607</v>
      </c>
      <c r="AM137" s="5"/>
      <c r="AN137" s="5">
        <f t="shared" si="212"/>
        <v>0.74515785206029039</v>
      </c>
      <c r="AO137" s="5"/>
      <c r="AP137" s="5">
        <f t="shared" si="213"/>
        <v>0.74628655096166552</v>
      </c>
      <c r="AQ137" s="5"/>
      <c r="AR137" s="5">
        <f t="shared" si="214"/>
        <v>0.75024906157403048</v>
      </c>
      <c r="AS137" s="5"/>
      <c r="AT137" s="5">
        <f t="shared" si="215"/>
        <v>0.75692879713022154</v>
      </c>
      <c r="AU137" s="5"/>
      <c r="AV137" s="5">
        <f t="shared" si="216"/>
        <v>0.761929487588345</v>
      </c>
      <c r="AW137" s="5"/>
      <c r="AX137" s="5">
        <f t="shared" si="217"/>
        <v>0.76399380777529302</v>
      </c>
      <c r="AY137" s="5"/>
      <c r="AZ137" s="5">
        <f t="shared" si="218"/>
        <v>0.76716538046270577</v>
      </c>
      <c r="BA137" s="5"/>
      <c r="BB137" s="5">
        <f t="shared" si="219"/>
        <v>0.76765339702227942</v>
      </c>
      <c r="BC137" s="5"/>
      <c r="BD137" s="5">
        <f t="shared" si="220"/>
        <v>0.77059462603162887</v>
      </c>
      <c r="BE137" s="5"/>
      <c r="BF137" s="5">
        <f t="shared" si="221"/>
        <v>0.76950920753642271</v>
      </c>
      <c r="BG137" s="5"/>
      <c r="BH137" s="5">
        <f t="shared" si="222"/>
        <v>0.77077285108547111</v>
      </c>
    </row>
    <row r="138" spans="2:60" x14ac:dyDescent="0.3">
      <c r="B138" s="23"/>
      <c r="C138" s="27"/>
      <c r="D138" s="31">
        <f t="shared" si="223"/>
        <v>1.1999999999999951</v>
      </c>
      <c r="E138" s="5"/>
      <c r="F138" s="5">
        <f t="shared" si="224"/>
        <v>8.5771817719368051E-2</v>
      </c>
      <c r="G138" s="5"/>
      <c r="H138" s="5">
        <f t="shared" si="196"/>
        <v>0.35786268734318655</v>
      </c>
      <c r="I138" s="5"/>
      <c r="J138" s="5">
        <f t="shared" si="197"/>
        <v>0.44155795665956793</v>
      </c>
      <c r="K138" s="5"/>
      <c r="L138" s="5">
        <f t="shared" si="198"/>
        <v>0.48220467879862777</v>
      </c>
      <c r="M138" s="5"/>
      <c r="N138" s="5">
        <f t="shared" si="199"/>
        <v>0.52241551125612096</v>
      </c>
      <c r="O138" s="5"/>
      <c r="P138" s="5">
        <f t="shared" si="200"/>
        <v>0.55602439470348108</v>
      </c>
      <c r="Q138" s="5"/>
      <c r="R138" s="5">
        <f t="shared" si="201"/>
        <v>0.58786619559565989</v>
      </c>
      <c r="S138" s="5"/>
      <c r="T138" s="5">
        <f t="shared" si="202"/>
        <v>0.60269483710492122</v>
      </c>
      <c r="U138" s="5"/>
      <c r="V138" s="5">
        <f t="shared" si="203"/>
        <v>0.62324694585560736</v>
      </c>
      <c r="W138" s="5"/>
      <c r="X138" s="5">
        <f t="shared" si="204"/>
        <v>0.63506683176394707</v>
      </c>
      <c r="Y138" s="5"/>
      <c r="Z138" s="5">
        <f t="shared" si="205"/>
        <v>0.64508995510711198</v>
      </c>
      <c r="AA138" s="5"/>
      <c r="AB138" s="5">
        <f t="shared" si="206"/>
        <v>0.65383007099029178</v>
      </c>
      <c r="AC138" s="5"/>
      <c r="AD138" s="5">
        <f t="shared" si="207"/>
        <v>0.66950346817862172</v>
      </c>
      <c r="AE138" s="5"/>
      <c r="AF138" s="5">
        <f t="shared" si="208"/>
        <v>0.68743785075581432</v>
      </c>
      <c r="AG138" s="5"/>
      <c r="AH138" s="5">
        <f t="shared" si="209"/>
        <v>0.70378377364179978</v>
      </c>
      <c r="AI138" s="5"/>
      <c r="AJ138" s="5">
        <f t="shared" si="210"/>
        <v>0.70999732006257998</v>
      </c>
      <c r="AK138" s="5"/>
      <c r="AL138" s="5">
        <f t="shared" si="211"/>
        <v>0.7170560025776308</v>
      </c>
      <c r="AM138" s="5"/>
      <c r="AN138" s="5">
        <f t="shared" si="212"/>
        <v>0.72300852431850349</v>
      </c>
      <c r="AO138" s="5"/>
      <c r="AP138" s="5">
        <f t="shared" si="213"/>
        <v>0.72645855451783115</v>
      </c>
      <c r="AQ138" s="5"/>
      <c r="AR138" s="5">
        <f t="shared" si="214"/>
        <v>0.72630849508772921</v>
      </c>
      <c r="AS138" s="5"/>
      <c r="AT138" s="5">
        <f t="shared" si="215"/>
        <v>0.73521080860680166</v>
      </c>
      <c r="AU138" s="5"/>
      <c r="AV138" s="5">
        <f t="shared" si="216"/>
        <v>0.73649265970078936</v>
      </c>
      <c r="AW138" s="5"/>
      <c r="AX138" s="5">
        <f t="shared" si="217"/>
        <v>0.74065933828615194</v>
      </c>
      <c r="AY138" s="5"/>
      <c r="AZ138" s="5">
        <f t="shared" si="218"/>
        <v>0.7405216523012299</v>
      </c>
      <c r="BA138" s="5"/>
      <c r="BB138" s="5">
        <f t="shared" si="219"/>
        <v>0.74304234235979638</v>
      </c>
      <c r="BC138" s="5"/>
      <c r="BD138" s="5">
        <f t="shared" si="220"/>
        <v>0.74291461497456968</v>
      </c>
      <c r="BE138" s="5"/>
      <c r="BF138" s="5">
        <f t="shared" si="221"/>
        <v>0.74381952325921918</v>
      </c>
      <c r="BG138" s="5"/>
      <c r="BH138" s="5">
        <f t="shared" si="222"/>
        <v>0.74225070097380152</v>
      </c>
    </row>
    <row r="139" spans="2:60" x14ac:dyDescent="0.3">
      <c r="B139" s="23"/>
      <c r="C139" s="27"/>
      <c r="D139" s="31">
        <f t="shared" si="223"/>
        <v>0.99999999999999512</v>
      </c>
      <c r="E139" s="5"/>
      <c r="F139" s="5">
        <f t="shared" si="224"/>
        <v>8.5771817719368051E-2</v>
      </c>
      <c r="G139" s="5"/>
      <c r="H139" s="5">
        <f t="shared" si="196"/>
        <v>0.35786268734318655</v>
      </c>
      <c r="I139" s="5"/>
      <c r="J139" s="5">
        <f t="shared" si="197"/>
        <v>0.44155795665956793</v>
      </c>
      <c r="K139" s="5"/>
      <c r="L139" s="5">
        <f t="shared" si="198"/>
        <v>0.48220467879862777</v>
      </c>
      <c r="M139" s="5"/>
      <c r="N139" s="5">
        <f t="shared" si="199"/>
        <v>0.5152765071404487</v>
      </c>
      <c r="O139" s="5"/>
      <c r="P139" s="5">
        <f t="shared" si="200"/>
        <v>0.5507320167948877</v>
      </c>
      <c r="Q139" s="5"/>
      <c r="R139" s="5">
        <f t="shared" si="201"/>
        <v>0.57399003728326548</v>
      </c>
      <c r="S139" s="5"/>
      <c r="T139" s="5">
        <f t="shared" si="202"/>
        <v>0.59198934739378439</v>
      </c>
      <c r="U139" s="5"/>
      <c r="V139" s="5">
        <f t="shared" si="203"/>
        <v>0.60436907552017438</v>
      </c>
      <c r="W139" s="5"/>
      <c r="X139" s="5">
        <f t="shared" si="204"/>
        <v>0.61952192580985543</v>
      </c>
      <c r="Y139" s="5"/>
      <c r="Z139" s="5">
        <f t="shared" si="205"/>
        <v>0.62218647518238435</v>
      </c>
      <c r="AA139" s="5"/>
      <c r="AB139" s="5">
        <f t="shared" si="206"/>
        <v>0.63443235370705953</v>
      </c>
      <c r="AC139" s="5"/>
      <c r="AD139" s="5">
        <f t="shared" si="207"/>
        <v>0.64358791207777089</v>
      </c>
      <c r="AE139" s="5"/>
      <c r="AF139" s="5">
        <f t="shared" si="208"/>
        <v>0.66495649201630092</v>
      </c>
      <c r="AG139" s="5"/>
      <c r="AH139" s="5">
        <f t="shared" si="209"/>
        <v>0.67574219530414859</v>
      </c>
      <c r="AI139" s="5"/>
      <c r="AJ139" s="5">
        <f t="shared" si="210"/>
        <v>0.68513012418839492</v>
      </c>
      <c r="AK139" s="5"/>
      <c r="AL139" s="5">
        <f t="shared" si="211"/>
        <v>0.68720583904321131</v>
      </c>
      <c r="AM139" s="5"/>
      <c r="AN139" s="5">
        <f t="shared" si="212"/>
        <v>0.69580030583050123</v>
      </c>
      <c r="AO139" s="5"/>
      <c r="AP139" s="5">
        <f t="shared" si="213"/>
        <v>0.69481116289724965</v>
      </c>
      <c r="AQ139" s="5"/>
      <c r="AR139" s="5">
        <f t="shared" si="214"/>
        <v>0.69717868027104724</v>
      </c>
      <c r="AS139" s="5"/>
      <c r="AT139" s="5">
        <f t="shared" si="215"/>
        <v>0.70223330182530419</v>
      </c>
      <c r="AU139" s="5"/>
      <c r="AV139" s="5">
        <f t="shared" si="216"/>
        <v>0.70583553042602365</v>
      </c>
      <c r="AW139" s="5"/>
      <c r="AX139" s="5">
        <f t="shared" si="217"/>
        <v>0.7067403581830054</v>
      </c>
      <c r="AY139" s="5"/>
      <c r="AZ139" s="5">
        <f t="shared" si="218"/>
        <v>0.70884211587406343</v>
      </c>
      <c r="BA139" s="5"/>
      <c r="BB139" s="5">
        <f t="shared" si="219"/>
        <v>0.70832146149579334</v>
      </c>
      <c r="BC139" s="5"/>
      <c r="BD139" s="5">
        <f t="shared" si="220"/>
        <v>0.71038992889725727</v>
      </c>
      <c r="BE139" s="5"/>
      <c r="BF139" s="5">
        <f t="shared" si="221"/>
        <v>0.70853474356456991</v>
      </c>
      <c r="BG139" s="5"/>
      <c r="BH139" s="5">
        <f t="shared" si="222"/>
        <v>0.70910851399867958</v>
      </c>
    </row>
    <row r="140" spans="2:60" x14ac:dyDescent="0.3">
      <c r="B140" s="23"/>
      <c r="C140" s="27"/>
      <c r="D140" s="31">
        <f t="shared" si="223"/>
        <v>0.79999999999999516</v>
      </c>
      <c r="E140" s="5"/>
      <c r="F140" s="5">
        <f t="shared" si="224"/>
        <v>8.5771817719368051E-2</v>
      </c>
      <c r="G140" s="5"/>
      <c r="H140" s="5">
        <f t="shared" si="196"/>
        <v>0.35786268734318655</v>
      </c>
      <c r="I140" s="5"/>
      <c r="J140" s="5">
        <f t="shared" si="197"/>
        <v>0.44155795665956793</v>
      </c>
      <c r="K140" s="5"/>
      <c r="L140" s="5">
        <f t="shared" si="198"/>
        <v>0.46842300105119761</v>
      </c>
      <c r="M140" s="5"/>
      <c r="N140" s="5">
        <f t="shared" si="199"/>
        <v>0.50496461230670009</v>
      </c>
      <c r="O140" s="5"/>
      <c r="P140" s="5">
        <f t="shared" si="200"/>
        <v>0.52720129040129504</v>
      </c>
      <c r="Q140" s="5"/>
      <c r="R140" s="5">
        <f t="shared" si="201"/>
        <v>0.55562697748063561</v>
      </c>
      <c r="S140" s="5"/>
      <c r="T140" s="5">
        <f t="shared" si="202"/>
        <v>0.56274456780813498</v>
      </c>
      <c r="U140" s="5"/>
      <c r="V140" s="5">
        <f t="shared" si="203"/>
        <v>0.57975507224835154</v>
      </c>
      <c r="W140" s="5"/>
      <c r="X140" s="5">
        <f t="shared" si="204"/>
        <v>0.5860072817751284</v>
      </c>
      <c r="Y140" s="5"/>
      <c r="Z140" s="5">
        <f t="shared" si="205"/>
        <v>0.59331387829398063</v>
      </c>
      <c r="AA140" s="5"/>
      <c r="AB140" s="5">
        <f t="shared" si="206"/>
        <v>0.59820618973079953</v>
      </c>
      <c r="AC140" s="5"/>
      <c r="AD140" s="5">
        <f t="shared" si="207"/>
        <v>0.61162523085228615</v>
      </c>
      <c r="AE140" s="5"/>
      <c r="AF140" s="5">
        <f t="shared" si="208"/>
        <v>0.62722538138904582</v>
      </c>
      <c r="AG140" s="5"/>
      <c r="AH140" s="5">
        <f t="shared" si="209"/>
        <v>0.64168017651066578</v>
      </c>
      <c r="AI140" s="5"/>
      <c r="AJ140" s="5">
        <f t="shared" si="210"/>
        <v>0.64596719274792724</v>
      </c>
      <c r="AK140" s="5"/>
      <c r="AL140" s="5">
        <f t="shared" si="211"/>
        <v>0.65071618481396409</v>
      </c>
      <c r="AM140" s="5"/>
      <c r="AN140" s="5">
        <f t="shared" si="212"/>
        <v>0.65492098740586413</v>
      </c>
      <c r="AO140" s="5"/>
      <c r="AP140" s="5">
        <f t="shared" si="213"/>
        <v>0.65660592140399898</v>
      </c>
      <c r="AQ140" s="5"/>
      <c r="AR140" s="5">
        <f t="shared" si="214"/>
        <v>0.65540202988818375</v>
      </c>
      <c r="AS140" s="5"/>
      <c r="AT140" s="5">
        <f t="shared" si="215"/>
        <v>0.66284287284223065</v>
      </c>
      <c r="AU140" s="5"/>
      <c r="AV140" s="5">
        <f t="shared" si="216"/>
        <v>0.66364714466983865</v>
      </c>
      <c r="AW140" s="5"/>
      <c r="AX140" s="5">
        <f t="shared" si="217"/>
        <v>0.66690192171576079</v>
      </c>
      <c r="AY140" s="5"/>
      <c r="AZ140" s="5">
        <f t="shared" si="218"/>
        <v>0.66623577075071572</v>
      </c>
      <c r="BA140" s="5"/>
      <c r="BB140" s="5">
        <f t="shared" si="219"/>
        <v>0.6680522595078302</v>
      </c>
      <c r="BC140" s="5"/>
      <c r="BD140" s="5">
        <f t="shared" si="220"/>
        <v>0.6676735706957363</v>
      </c>
      <c r="BE140" s="5"/>
      <c r="BF140" s="5">
        <f t="shared" si="221"/>
        <v>0.66809394325214344</v>
      </c>
      <c r="BG140" s="5"/>
      <c r="BH140" s="5">
        <f t="shared" si="222"/>
        <v>0.66652468417428801</v>
      </c>
    </row>
    <row r="141" spans="2:60" x14ac:dyDescent="0.3">
      <c r="B141" s="23"/>
      <c r="C141" s="27"/>
      <c r="D141" s="31">
        <f t="shared" si="223"/>
        <v>0.5999999999999952</v>
      </c>
      <c r="E141" s="5"/>
      <c r="F141" s="5">
        <f t="shared" si="224"/>
        <v>8.5771817719368051E-2</v>
      </c>
      <c r="G141" s="5"/>
      <c r="H141" s="5">
        <f t="shared" si="196"/>
        <v>0.35786268734318655</v>
      </c>
      <c r="I141" s="5"/>
      <c r="J141" s="5">
        <f t="shared" si="197"/>
        <v>0.41538719993622186</v>
      </c>
      <c r="K141" s="5"/>
      <c r="L141" s="5">
        <f t="shared" si="198"/>
        <v>0.44851613319379829</v>
      </c>
      <c r="M141" s="5"/>
      <c r="N141" s="5">
        <f t="shared" si="199"/>
        <v>0.46625534554616627</v>
      </c>
      <c r="O141" s="5"/>
      <c r="P141" s="5">
        <f t="shared" si="200"/>
        <v>0.49650549853145276</v>
      </c>
      <c r="Q141" s="5"/>
      <c r="R141" s="5">
        <f t="shared" si="201"/>
        <v>0.51196277871917872</v>
      </c>
      <c r="S141" s="5"/>
      <c r="T141" s="5">
        <f t="shared" si="202"/>
        <v>0.5248847195792038</v>
      </c>
      <c r="U141" s="5"/>
      <c r="V141" s="5">
        <f t="shared" si="203"/>
        <v>0.53236776507981565</v>
      </c>
      <c r="W141" s="5"/>
      <c r="X141" s="5">
        <f t="shared" si="204"/>
        <v>0.5443737801738493</v>
      </c>
      <c r="Y141" s="5"/>
      <c r="Z141" s="5">
        <f t="shared" si="205"/>
        <v>0.54438570435454459</v>
      </c>
      <c r="AA141" s="5"/>
      <c r="AB141" s="5">
        <f t="shared" si="206"/>
        <v>0.55416194485988357</v>
      </c>
      <c r="AC141" s="5"/>
      <c r="AD141" s="5">
        <f t="shared" si="207"/>
        <v>0.56258712935927491</v>
      </c>
      <c r="AE141" s="5"/>
      <c r="AF141" s="5">
        <f t="shared" si="208"/>
        <v>0.58199524092739163</v>
      </c>
      <c r="AG141" s="5"/>
      <c r="AH141" s="5">
        <f t="shared" si="209"/>
        <v>0.59182514051605573</v>
      </c>
      <c r="AI141" s="5"/>
      <c r="AJ141" s="5">
        <f t="shared" si="210"/>
        <v>0.59821928742758257</v>
      </c>
      <c r="AK141" s="5"/>
      <c r="AL141" s="5">
        <f t="shared" si="211"/>
        <v>0.59918131885364778</v>
      </c>
      <c r="AM141" s="5"/>
      <c r="AN141" s="5">
        <f t="shared" si="212"/>
        <v>0.60604000787557277</v>
      </c>
      <c r="AO141" s="5"/>
      <c r="AP141" s="5">
        <f t="shared" si="213"/>
        <v>0.60502469289292382</v>
      </c>
      <c r="AQ141" s="5"/>
      <c r="AR141" s="5">
        <f t="shared" si="214"/>
        <v>0.60603502621577154</v>
      </c>
      <c r="AS141" s="5"/>
      <c r="AT141" s="5">
        <f t="shared" si="215"/>
        <v>0.61172687342463328</v>
      </c>
      <c r="AU141" s="5"/>
      <c r="AV141" s="5">
        <f t="shared" si="216"/>
        <v>0.61487727557562599</v>
      </c>
      <c r="AW141" s="5"/>
      <c r="AX141" s="5">
        <f t="shared" si="217"/>
        <v>0.61585859058652315</v>
      </c>
      <c r="AY141" s="5"/>
      <c r="AZ141" s="5">
        <f t="shared" si="218"/>
        <v>0.61759922304077297</v>
      </c>
      <c r="BA141" s="5"/>
      <c r="BB141" s="5">
        <f t="shared" si="219"/>
        <v>0.61756253213723844</v>
      </c>
      <c r="BC141" s="5"/>
      <c r="BD141" s="5">
        <f t="shared" si="220"/>
        <v>0.61951515384473999</v>
      </c>
      <c r="BE141" s="5"/>
      <c r="BF141" s="5">
        <f t="shared" si="221"/>
        <v>0.61840879310832853</v>
      </c>
      <c r="BG141" s="5"/>
      <c r="BH141" s="5">
        <f t="shared" si="222"/>
        <v>0.61894420944684936</v>
      </c>
    </row>
    <row r="142" spans="2:60" x14ac:dyDescent="0.3">
      <c r="B142" s="23"/>
      <c r="C142" s="27"/>
      <c r="D142" s="31">
        <f t="shared" si="223"/>
        <v>0.39999999999999519</v>
      </c>
      <c r="E142" s="5"/>
      <c r="F142" s="5">
        <f>$E$95*$E$96*$E$97*$E$88*$BO$89*($E$98+F43-$BP$89)</f>
        <v>8.5771817719368051E-2</v>
      </c>
      <c r="G142" s="5"/>
      <c r="H142" s="5">
        <f t="shared" si="196"/>
        <v>0.30988099147709147</v>
      </c>
      <c r="I142" s="5"/>
      <c r="J142" s="5">
        <f t="shared" si="197"/>
        <v>0.37758499578027749</v>
      </c>
      <c r="K142" s="5"/>
      <c r="L142" s="5">
        <f t="shared" si="198"/>
        <v>0.38757049159960694</v>
      </c>
      <c r="M142" s="5"/>
      <c r="N142" s="5">
        <f t="shared" si="199"/>
        <v>0.41675825034417235</v>
      </c>
      <c r="O142" s="5"/>
      <c r="P142" s="5">
        <f t="shared" si="200"/>
        <v>0.43446254520301841</v>
      </c>
      <c r="Q142" s="5"/>
      <c r="R142" s="5">
        <f t="shared" si="201"/>
        <v>0.45583496470706808</v>
      </c>
      <c r="S142" s="5"/>
      <c r="T142" s="5">
        <f t="shared" si="202"/>
        <v>0.46063066594806185</v>
      </c>
      <c r="U142" s="5"/>
      <c r="V142" s="5">
        <f t="shared" si="203"/>
        <v>0.47466398001822024</v>
      </c>
      <c r="W142" s="5"/>
      <c r="X142" s="5">
        <f t="shared" si="204"/>
        <v>0.48099256543763275</v>
      </c>
      <c r="Y142" s="5"/>
      <c r="Z142" s="5">
        <f t="shared" si="205"/>
        <v>0.48592443519106926</v>
      </c>
      <c r="AA142" s="5"/>
      <c r="AB142" s="5">
        <f t="shared" si="206"/>
        <v>0.4930535530432974</v>
      </c>
      <c r="AC142" s="5"/>
      <c r="AD142" s="5">
        <f t="shared" si="207"/>
        <v>0.5046991699668224</v>
      </c>
      <c r="AE142" s="5"/>
      <c r="AF142" s="5">
        <f t="shared" si="208"/>
        <v>0.52062009333811632</v>
      </c>
      <c r="AG142" s="5"/>
      <c r="AH142" s="5">
        <f t="shared" si="209"/>
        <v>0.53091469353367782</v>
      </c>
      <c r="AI142" s="5"/>
      <c r="AJ142" s="5">
        <f t="shared" si="210"/>
        <v>0.53482686212927888</v>
      </c>
      <c r="AK142" s="5"/>
      <c r="AL142" s="5">
        <f t="shared" si="211"/>
        <v>0.53835575076238862</v>
      </c>
      <c r="AM142" s="5"/>
      <c r="AN142" s="5">
        <f t="shared" si="212"/>
        <v>0.54419063890533059</v>
      </c>
      <c r="AO142" s="5"/>
      <c r="AP142" s="5">
        <f t="shared" si="213"/>
        <v>0.54487959853984569</v>
      </c>
      <c r="AQ142" s="5"/>
      <c r="AR142" s="5">
        <f t="shared" si="214"/>
        <v>0.54594826886839753</v>
      </c>
      <c r="AS142" s="5"/>
      <c r="AT142" s="5">
        <f t="shared" si="215"/>
        <v>0.55390501956036087</v>
      </c>
      <c r="AU142" s="5"/>
      <c r="AV142" s="5">
        <f t="shared" si="216"/>
        <v>0.55529915295785537</v>
      </c>
      <c r="AW142" s="5"/>
      <c r="AX142" s="5">
        <f t="shared" si="217"/>
        <v>0.55870974753383496</v>
      </c>
      <c r="AY142" s="5"/>
      <c r="AZ142" s="5">
        <f t="shared" si="218"/>
        <v>0.55950485915160397</v>
      </c>
      <c r="BA142" s="5"/>
      <c r="BB142" s="5">
        <f t="shared" si="219"/>
        <v>0.56176530514431422</v>
      </c>
      <c r="BC142" s="5"/>
      <c r="BD142" s="5">
        <f t="shared" si="220"/>
        <v>0.56310508398123349</v>
      </c>
      <c r="BE142" s="5"/>
      <c r="BF142" s="5">
        <f t="shared" si="221"/>
        <v>0.56390957473423708</v>
      </c>
      <c r="BG142" s="5"/>
      <c r="BH142" s="5">
        <f t="shared" si="222"/>
        <v>0.56428075803548183</v>
      </c>
    </row>
    <row r="143" spans="2:60" x14ac:dyDescent="0.3">
      <c r="B143" s="23"/>
      <c r="C143" s="33"/>
      <c r="D143" s="31">
        <f t="shared" si="223"/>
        <v>0.19999999999999518</v>
      </c>
      <c r="E143" s="5"/>
      <c r="F143" s="5">
        <f>$E$95*$E$96*$E$97*$E$88*$BO$89*($E$98+F44-$BP$89)</f>
        <v>6.9134797270954829E-3</v>
      </c>
      <c r="G143" s="5"/>
      <c r="H143" s="5">
        <f t="shared" si="196"/>
        <v>0.24057409744828748</v>
      </c>
      <c r="I143" s="5"/>
      <c r="J143" s="5">
        <f t="shared" si="197"/>
        <v>0.28802285054927085</v>
      </c>
      <c r="K143" s="5"/>
      <c r="L143" s="5">
        <f t="shared" si="198"/>
        <v>0.31192439374148989</v>
      </c>
      <c r="M143" s="5"/>
      <c r="N143" s="5">
        <f t="shared" si="199"/>
        <v>0.33458038074599006</v>
      </c>
      <c r="O143" s="5"/>
      <c r="P143" s="5">
        <f t="shared" si="200"/>
        <v>0.35515829777270985</v>
      </c>
      <c r="Q143" s="5"/>
      <c r="R143" s="5">
        <f t="shared" si="201"/>
        <v>0.37307655944272727</v>
      </c>
      <c r="S143" s="5"/>
      <c r="T143" s="5">
        <f t="shared" si="202"/>
        <v>0.38463646975401661</v>
      </c>
      <c r="U143" s="5"/>
      <c r="V143" s="5">
        <f t="shared" si="203"/>
        <v>0.39673390531151803</v>
      </c>
      <c r="W143" s="5"/>
      <c r="X143" s="5">
        <f t="shared" si="204"/>
        <v>0.40685115813987915</v>
      </c>
      <c r="Y143" s="5"/>
      <c r="Z143" s="5">
        <f t="shared" si="205"/>
        <v>0.41368281450247724</v>
      </c>
      <c r="AA143" s="5"/>
      <c r="AB143" s="5">
        <f t="shared" si="206"/>
        <v>0.42219737066130114</v>
      </c>
      <c r="AC143" s="5"/>
      <c r="AD143" s="5">
        <f t="shared" si="207"/>
        <v>0.43181422915595097</v>
      </c>
      <c r="AE143" s="5"/>
      <c r="AF143" s="5">
        <f t="shared" si="208"/>
        <v>0.44476704999919187</v>
      </c>
      <c r="AG143" s="5"/>
      <c r="AH143" s="5">
        <f t="shared" si="209"/>
        <v>0.4546796968514677</v>
      </c>
      <c r="AI143" s="5"/>
      <c r="AJ143" s="5">
        <f t="shared" si="210"/>
        <v>0.46153073797177463</v>
      </c>
      <c r="AK143" s="5"/>
      <c r="AL143" s="5">
        <f t="shared" si="211"/>
        <v>0.46675713720656159</v>
      </c>
      <c r="AM143" s="5"/>
      <c r="AN143" s="5">
        <f t="shared" si="212"/>
        <v>0.47328721673595603</v>
      </c>
      <c r="AO143" s="5"/>
      <c r="AP143" s="5">
        <f t="shared" si="213"/>
        <v>0.47675429585762591</v>
      </c>
      <c r="AQ143" s="5"/>
      <c r="AR143" s="5">
        <f t="shared" si="214"/>
        <v>0.48008851099837752</v>
      </c>
      <c r="AS143" s="5"/>
      <c r="AT143" s="5">
        <f t="shared" si="215"/>
        <v>0.48626479889780466</v>
      </c>
      <c r="AU143" s="5"/>
      <c r="AV143" s="5">
        <f t="shared" si="216"/>
        <v>0.49012978481149594</v>
      </c>
      <c r="AW143" s="5"/>
      <c r="AX143" s="5">
        <f t="shared" si="217"/>
        <v>0.49390574626904871</v>
      </c>
      <c r="AY143" s="5"/>
      <c r="AZ143" s="5">
        <f t="shared" si="218"/>
        <v>0.49685500046291459</v>
      </c>
      <c r="BA143" s="5"/>
      <c r="BB143" s="5">
        <f t="shared" si="219"/>
        <v>0.49972820284115743</v>
      </c>
      <c r="BC143" s="5"/>
      <c r="BD143" s="5">
        <f t="shared" si="220"/>
        <v>0.50253256544967617</v>
      </c>
      <c r="BE143" s="5"/>
      <c r="BF143" s="5">
        <f t="shared" si="221"/>
        <v>0.50452164126142252</v>
      </c>
      <c r="BG143" s="5"/>
      <c r="BH143" s="5">
        <f t="shared" si="222"/>
        <v>0.50645018136448516</v>
      </c>
    </row>
    <row r="144" spans="2:60" x14ac:dyDescent="0.3">
      <c r="B144" s="34" t="s">
        <v>37</v>
      </c>
      <c r="C144" s="35" t="s">
        <v>37</v>
      </c>
      <c r="D144" s="54">
        <v>-0.2</v>
      </c>
      <c r="E144" s="55"/>
      <c r="F144" s="5">
        <f t="shared" si="224"/>
        <v>-7.1944858265177089E-2</v>
      </c>
      <c r="G144" s="55"/>
      <c r="H144" s="5">
        <f t="shared" si="196"/>
        <v>0.17126720341948351</v>
      </c>
      <c r="I144" s="55"/>
      <c r="J144" s="5">
        <f t="shared" si="197"/>
        <v>0.19846070531826421</v>
      </c>
      <c r="K144" s="5"/>
      <c r="L144" s="5">
        <f t="shared" si="198"/>
        <v>0.23627829588337296</v>
      </c>
      <c r="M144" s="55"/>
      <c r="N144" s="5">
        <f t="shared" si="199"/>
        <v>0.25240251114780782</v>
      </c>
      <c r="O144" s="55"/>
      <c r="P144" s="5">
        <f t="shared" si="200"/>
        <v>0.27585405034240135</v>
      </c>
      <c r="Q144" s="55"/>
      <c r="R144" s="5">
        <f t="shared" si="201"/>
        <v>0.29031815417838652</v>
      </c>
      <c r="S144" s="55"/>
      <c r="T144" s="5">
        <f t="shared" si="202"/>
        <v>0.30864227355997131</v>
      </c>
      <c r="U144" s="55"/>
      <c r="V144" s="5">
        <f t="shared" si="203"/>
        <v>0.31880383060481582</v>
      </c>
      <c r="W144" s="55"/>
      <c r="X144" s="5">
        <f t="shared" si="204"/>
        <v>0.33270975084212551</v>
      </c>
      <c r="Y144" s="55"/>
      <c r="Z144" s="5">
        <f t="shared" si="205"/>
        <v>0.34144119381388527</v>
      </c>
      <c r="AA144" s="55"/>
      <c r="AB144" s="5">
        <f t="shared" si="206"/>
        <v>0.35134118827930488</v>
      </c>
      <c r="AC144" s="55"/>
      <c r="AD144" s="5">
        <f t="shared" si="207"/>
        <v>0.35892928834507953</v>
      </c>
      <c r="AE144" s="55"/>
      <c r="AF144" s="5">
        <f t="shared" si="208"/>
        <v>0.36891400666026736</v>
      </c>
      <c r="AG144" s="55"/>
      <c r="AH144" s="5">
        <f t="shared" si="209"/>
        <v>0.37844470016925769</v>
      </c>
      <c r="AI144" s="55"/>
      <c r="AJ144" s="5">
        <f t="shared" si="210"/>
        <v>0.38823461381427038</v>
      </c>
      <c r="AK144" s="55"/>
      <c r="AL144" s="5">
        <f t="shared" si="211"/>
        <v>0.39515852365073451</v>
      </c>
      <c r="AM144" s="55"/>
      <c r="AN144" s="5">
        <f t="shared" si="212"/>
        <v>0.40238379456658152</v>
      </c>
      <c r="AO144" s="55"/>
      <c r="AP144" s="5">
        <f t="shared" si="213"/>
        <v>0.40862899317540624</v>
      </c>
      <c r="AQ144" s="55"/>
      <c r="AR144" s="5">
        <f t="shared" si="214"/>
        <v>0.41422875312835733</v>
      </c>
      <c r="AS144" s="55"/>
      <c r="AT144" s="5">
        <f t="shared" si="215"/>
        <v>0.41862457823524857</v>
      </c>
      <c r="AU144" s="55"/>
      <c r="AV144" s="5">
        <f t="shared" si="216"/>
        <v>0.4249604166651364</v>
      </c>
      <c r="AW144" s="55"/>
      <c r="AX144" s="5">
        <f t="shared" si="217"/>
        <v>0.42910174500426257</v>
      </c>
      <c r="AY144" s="55"/>
      <c r="AZ144" s="5">
        <f t="shared" si="218"/>
        <v>0.43420514177422515</v>
      </c>
      <c r="BA144" s="55"/>
      <c r="BB144" s="5">
        <f t="shared" si="219"/>
        <v>0.43769110053800053</v>
      </c>
      <c r="BC144" s="55"/>
      <c r="BD144" s="5">
        <f t="shared" si="220"/>
        <v>0.4419600469181188</v>
      </c>
      <c r="BE144" s="55"/>
      <c r="BF144" s="5">
        <f t="shared" si="221"/>
        <v>0.44513370778860795</v>
      </c>
      <c r="BG144" s="55"/>
      <c r="BH144" s="5">
        <f t="shared" si="222"/>
        <v>0.44861960469348849</v>
      </c>
    </row>
    <row r="145" spans="2:60" x14ac:dyDescent="0.3">
      <c r="B145" s="34"/>
      <c r="C145" s="35" t="s">
        <v>37</v>
      </c>
      <c r="D145" s="36">
        <f>D144-0.2</f>
        <v>-0.4</v>
      </c>
      <c r="E145" s="5"/>
      <c r="F145" s="5"/>
      <c r="G145" s="5"/>
      <c r="H145" s="5">
        <f t="shared" si="196"/>
        <v>0.12328550755338845</v>
      </c>
      <c r="I145" s="5"/>
      <c r="J145" s="5">
        <f t="shared" si="197"/>
        <v>0.16065850116231983</v>
      </c>
      <c r="K145" s="5"/>
      <c r="L145" s="5">
        <f t="shared" si="198"/>
        <v>0.17533265428918152</v>
      </c>
      <c r="M145" s="5"/>
      <c r="N145" s="5">
        <f t="shared" si="199"/>
        <v>0.20290541594581391</v>
      </c>
      <c r="O145" s="5"/>
      <c r="P145" s="5">
        <f t="shared" si="200"/>
        <v>0.21381109701396697</v>
      </c>
      <c r="Q145" s="5"/>
      <c r="R145" s="5">
        <f t="shared" si="201"/>
        <v>0.23419034016627593</v>
      </c>
      <c r="S145" s="5"/>
      <c r="T145" s="5">
        <f t="shared" si="202"/>
        <v>0.24438821992882936</v>
      </c>
      <c r="U145" s="5"/>
      <c r="V145" s="5">
        <f t="shared" si="203"/>
        <v>0.2611000455432203</v>
      </c>
      <c r="W145" s="5"/>
      <c r="X145" s="5">
        <f t="shared" si="204"/>
        <v>0.2693285361059089</v>
      </c>
      <c r="Y145" s="5"/>
      <c r="Z145" s="5">
        <f t="shared" si="205"/>
        <v>0.28297992465040978</v>
      </c>
      <c r="AA145" s="5"/>
      <c r="AB145" s="5">
        <f t="shared" si="206"/>
        <v>0.29023279646271888</v>
      </c>
      <c r="AC145" s="5"/>
      <c r="AD145" s="5">
        <f t="shared" si="207"/>
        <v>0.30104132895262709</v>
      </c>
      <c r="AE145" s="5"/>
      <c r="AF145" s="5">
        <f t="shared" si="208"/>
        <v>0.30753885907099215</v>
      </c>
      <c r="AG145" s="5"/>
      <c r="AH145" s="5">
        <f t="shared" si="209"/>
        <v>0.31753425318687967</v>
      </c>
      <c r="AI145" s="5"/>
      <c r="AJ145" s="5">
        <f t="shared" si="210"/>
        <v>0.32484218851596663</v>
      </c>
      <c r="AK145" s="5"/>
      <c r="AL145" s="5">
        <f t="shared" si="211"/>
        <v>0.33433295555947545</v>
      </c>
      <c r="AM145" s="5"/>
      <c r="AN145" s="5">
        <f t="shared" si="212"/>
        <v>0.34053442559633929</v>
      </c>
      <c r="AO145" s="5"/>
      <c r="AP145" s="5">
        <f t="shared" si="213"/>
        <v>0.34848389882232811</v>
      </c>
      <c r="AQ145" s="5"/>
      <c r="AR145" s="5">
        <f t="shared" si="214"/>
        <v>0.35414199578098343</v>
      </c>
      <c r="AS145" s="5"/>
      <c r="AT145" s="5">
        <f t="shared" si="215"/>
        <v>0.36080272437097594</v>
      </c>
      <c r="AU145" s="5"/>
      <c r="AV145" s="5">
        <f t="shared" si="216"/>
        <v>0.36538229404736583</v>
      </c>
      <c r="AW145" s="5"/>
      <c r="AX145" s="5">
        <f t="shared" si="217"/>
        <v>0.37195290195157427</v>
      </c>
      <c r="AY145" s="5"/>
      <c r="AZ145" s="5">
        <f t="shared" si="218"/>
        <v>0.37611077788505615</v>
      </c>
      <c r="BA145" s="5"/>
      <c r="BB145" s="5">
        <f t="shared" si="219"/>
        <v>0.38189387354507637</v>
      </c>
      <c r="BC145" s="5"/>
      <c r="BD145" s="5">
        <f t="shared" si="220"/>
        <v>0.38554997705461236</v>
      </c>
      <c r="BE145" s="5"/>
      <c r="BF145" s="5">
        <f t="shared" si="221"/>
        <v>0.39063448941451639</v>
      </c>
      <c r="BG145" s="5"/>
      <c r="BH145" s="5">
        <f t="shared" si="222"/>
        <v>0.3939561532821208</v>
      </c>
    </row>
    <row r="146" spans="2:60" x14ac:dyDescent="0.3">
      <c r="B146" s="34"/>
      <c r="C146" s="35" t="s">
        <v>37</v>
      </c>
      <c r="D146" s="36">
        <f t="shared" ref="D146:D183" si="225">D145-0.2</f>
        <v>-0.60000000000000009</v>
      </c>
      <c r="E146" s="5"/>
      <c r="F146" s="5"/>
      <c r="G146" s="5"/>
      <c r="H146" s="5">
        <f t="shared" si="196"/>
        <v>0.12328550755338845</v>
      </c>
      <c r="I146" s="5"/>
      <c r="J146" s="5">
        <f t="shared" si="197"/>
        <v>0.13448774443897371</v>
      </c>
      <c r="K146" s="5"/>
      <c r="L146" s="5">
        <f t="shared" si="198"/>
        <v>0.15542578643178231</v>
      </c>
      <c r="M146" s="5"/>
      <c r="N146" s="5">
        <f t="shared" si="199"/>
        <v>0.16419614918528019</v>
      </c>
      <c r="O146" s="5"/>
      <c r="P146" s="5">
        <f t="shared" si="200"/>
        <v>0.18311530514412475</v>
      </c>
      <c r="Q146" s="5"/>
      <c r="R146" s="5">
        <f t="shared" si="201"/>
        <v>0.19052614140481899</v>
      </c>
      <c r="S146" s="5"/>
      <c r="T146" s="5">
        <f t="shared" si="202"/>
        <v>0.20652837169989827</v>
      </c>
      <c r="U146" s="5"/>
      <c r="V146" s="5">
        <f t="shared" si="203"/>
        <v>0.21371273837468455</v>
      </c>
      <c r="W146" s="5"/>
      <c r="X146" s="5">
        <f t="shared" si="204"/>
        <v>0.22769503450462983</v>
      </c>
      <c r="Y146" s="5"/>
      <c r="Z146" s="5">
        <f t="shared" si="205"/>
        <v>0.23405175071097375</v>
      </c>
      <c r="AA146" s="5"/>
      <c r="AB146" s="5">
        <f t="shared" si="206"/>
        <v>0.24618855159180281</v>
      </c>
      <c r="AC146" s="5"/>
      <c r="AD146" s="5">
        <f t="shared" si="207"/>
        <v>0.25200322745961579</v>
      </c>
      <c r="AE146" s="5"/>
      <c r="AF146" s="5">
        <f t="shared" si="208"/>
        <v>0.26230871860933791</v>
      </c>
      <c r="AG146" s="5"/>
      <c r="AH146" s="5">
        <f t="shared" si="209"/>
        <v>0.26767921719226967</v>
      </c>
      <c r="AI146" s="5"/>
      <c r="AJ146" s="5">
        <f t="shared" si="210"/>
        <v>0.27709428319562196</v>
      </c>
      <c r="AK146" s="5"/>
      <c r="AL146" s="5">
        <f t="shared" si="211"/>
        <v>0.2827980895991592</v>
      </c>
      <c r="AM146" s="5"/>
      <c r="AN146" s="5">
        <f t="shared" si="212"/>
        <v>0.29165344606604793</v>
      </c>
      <c r="AO146" s="5"/>
      <c r="AP146" s="5">
        <f t="shared" si="213"/>
        <v>0.29690267031125295</v>
      </c>
      <c r="AQ146" s="5"/>
      <c r="AR146" s="5">
        <f t="shared" si="214"/>
        <v>0.30477499210857129</v>
      </c>
      <c r="AS146" s="5"/>
      <c r="AT146" s="5">
        <f t="shared" si="215"/>
        <v>0.30968672495337862</v>
      </c>
      <c r="AU146" s="5"/>
      <c r="AV146" s="5">
        <f t="shared" si="216"/>
        <v>0.31661242495315317</v>
      </c>
      <c r="AW146" s="5"/>
      <c r="AX146" s="5">
        <f t="shared" si="217"/>
        <v>0.32090957082233673</v>
      </c>
      <c r="AY146" s="5"/>
      <c r="AZ146" s="5">
        <f t="shared" si="218"/>
        <v>0.32747423017511335</v>
      </c>
      <c r="BA146" s="5"/>
      <c r="BB146" s="5">
        <f t="shared" si="219"/>
        <v>0.33140414617448466</v>
      </c>
      <c r="BC146" s="5"/>
      <c r="BD146" s="5">
        <f t="shared" si="220"/>
        <v>0.33739156020361605</v>
      </c>
      <c r="BE146" s="5"/>
      <c r="BF146" s="5">
        <f t="shared" si="221"/>
        <v>0.34094933927070165</v>
      </c>
      <c r="BG146" s="5"/>
      <c r="BH146" s="5">
        <f t="shared" si="222"/>
        <v>0.34637567855468226</v>
      </c>
    </row>
    <row r="147" spans="2:60" x14ac:dyDescent="0.3">
      <c r="B147" s="34"/>
      <c r="C147" s="35" t="s">
        <v>37</v>
      </c>
      <c r="D147" s="36">
        <f t="shared" si="225"/>
        <v>-0.8</v>
      </c>
      <c r="E147" s="5"/>
      <c r="F147" s="5"/>
      <c r="G147" s="5"/>
      <c r="H147" s="5">
        <f t="shared" si="196"/>
        <v>0.12328550755338845</v>
      </c>
      <c r="I147" s="5"/>
      <c r="J147" s="5">
        <f t="shared" si="197"/>
        <v>0.13448774443897371</v>
      </c>
      <c r="K147" s="5"/>
      <c r="L147" s="5">
        <f t="shared" si="198"/>
        <v>0.14164410868435209</v>
      </c>
      <c r="M147" s="5"/>
      <c r="N147" s="5">
        <f t="shared" si="199"/>
        <v>0.15388425435153144</v>
      </c>
      <c r="O147" s="5"/>
      <c r="P147" s="5">
        <f t="shared" si="200"/>
        <v>0.15958457875053217</v>
      </c>
      <c r="Q147" s="5"/>
      <c r="R147" s="5">
        <f t="shared" si="201"/>
        <v>0.17216308160218921</v>
      </c>
      <c r="S147" s="5"/>
      <c r="T147" s="5">
        <f t="shared" si="202"/>
        <v>0.17728359211424871</v>
      </c>
      <c r="U147" s="5"/>
      <c r="V147" s="5">
        <f t="shared" si="203"/>
        <v>0.18909873510286154</v>
      </c>
      <c r="W147" s="5"/>
      <c r="X147" s="5">
        <f t="shared" si="204"/>
        <v>0.19418039046990282</v>
      </c>
      <c r="Y147" s="5"/>
      <c r="Z147" s="5">
        <f t="shared" si="205"/>
        <v>0.2051791538225701</v>
      </c>
      <c r="AA147" s="5"/>
      <c r="AB147" s="5">
        <f t="shared" si="206"/>
        <v>0.20996238761554273</v>
      </c>
      <c r="AC147" s="5"/>
      <c r="AD147" s="5">
        <f t="shared" si="207"/>
        <v>0.22004054623413102</v>
      </c>
      <c r="AE147" s="5"/>
      <c r="AF147" s="5">
        <f t="shared" si="208"/>
        <v>0.2245776079820829</v>
      </c>
      <c r="AG147" s="5"/>
      <c r="AH147" s="5">
        <f t="shared" si="209"/>
        <v>0.2336171983987867</v>
      </c>
      <c r="AI147" s="5"/>
      <c r="AJ147" s="5">
        <f t="shared" si="210"/>
        <v>0.23793135175515415</v>
      </c>
      <c r="AK147" s="5"/>
      <c r="AL147" s="5">
        <f t="shared" si="211"/>
        <v>0.24630843536991187</v>
      </c>
      <c r="AM147" s="5"/>
      <c r="AN147" s="5">
        <f t="shared" si="212"/>
        <v>0.25077412764141077</v>
      </c>
      <c r="AO147" s="5"/>
      <c r="AP147" s="5">
        <f t="shared" si="213"/>
        <v>0.25869742881800212</v>
      </c>
      <c r="AQ147" s="5"/>
      <c r="AR147" s="5">
        <f t="shared" si="214"/>
        <v>0.26299834172570785</v>
      </c>
      <c r="AS147" s="5"/>
      <c r="AT147" s="5">
        <f t="shared" si="215"/>
        <v>0.27029629597030497</v>
      </c>
      <c r="AU147" s="5"/>
      <c r="AV147" s="5">
        <f t="shared" si="216"/>
        <v>0.27442403919696812</v>
      </c>
      <c r="AW147" s="5"/>
      <c r="AX147" s="5">
        <f t="shared" si="217"/>
        <v>0.2810711343550919</v>
      </c>
      <c r="AY147" s="5"/>
      <c r="AZ147" s="5">
        <f t="shared" si="218"/>
        <v>0.28486788505176563</v>
      </c>
      <c r="BA147" s="5"/>
      <c r="BB147" s="5">
        <f t="shared" si="219"/>
        <v>0.29113494418652142</v>
      </c>
      <c r="BC147" s="5"/>
      <c r="BD147" s="5">
        <f t="shared" si="220"/>
        <v>0.29467520200209518</v>
      </c>
      <c r="BE147" s="5"/>
      <c r="BF147" s="5">
        <f t="shared" si="221"/>
        <v>0.30050853895827506</v>
      </c>
      <c r="BG147" s="5"/>
      <c r="BH147" s="5">
        <f t="shared" si="222"/>
        <v>0.30379184873029058</v>
      </c>
    </row>
    <row r="148" spans="2:60" x14ac:dyDescent="0.3">
      <c r="B148" s="34"/>
      <c r="C148" s="35" t="s">
        <v>37</v>
      </c>
      <c r="D148" s="36">
        <f t="shared" si="225"/>
        <v>-1</v>
      </c>
      <c r="E148" s="5"/>
      <c r="F148" s="5"/>
      <c r="G148" s="5"/>
      <c r="H148" s="5">
        <f t="shared" si="196"/>
        <v>0.12328550755338845</v>
      </c>
      <c r="I148" s="5"/>
      <c r="J148" s="5">
        <f t="shared" si="197"/>
        <v>0.13448774443897371</v>
      </c>
      <c r="K148" s="5"/>
      <c r="L148" s="5">
        <f t="shared" si="198"/>
        <v>0.14164410868435209</v>
      </c>
      <c r="M148" s="5"/>
      <c r="N148" s="5">
        <f t="shared" si="199"/>
        <v>0.14674525023585924</v>
      </c>
      <c r="O148" s="5"/>
      <c r="P148" s="5">
        <f t="shared" si="200"/>
        <v>0.1542922008419387</v>
      </c>
      <c r="Q148" s="5"/>
      <c r="R148" s="5">
        <f t="shared" si="201"/>
        <v>0.15828692328979471</v>
      </c>
      <c r="S148" s="5"/>
      <c r="T148" s="5">
        <f t="shared" si="202"/>
        <v>0.16657810240311205</v>
      </c>
      <c r="U148" s="5"/>
      <c r="V148" s="5">
        <f t="shared" si="203"/>
        <v>0.17022086476742859</v>
      </c>
      <c r="W148" s="5"/>
      <c r="X148" s="5">
        <f t="shared" si="204"/>
        <v>0.1786354845158111</v>
      </c>
      <c r="Y148" s="5"/>
      <c r="Z148" s="5">
        <f t="shared" si="205"/>
        <v>0.18227567389784247</v>
      </c>
      <c r="AA148" s="5"/>
      <c r="AB148" s="5">
        <f t="shared" si="206"/>
        <v>0.19056467033231056</v>
      </c>
      <c r="AC148" s="5"/>
      <c r="AD148" s="5">
        <f t="shared" si="207"/>
        <v>0.19412499013328011</v>
      </c>
      <c r="AE148" s="5"/>
      <c r="AF148" s="5">
        <f t="shared" si="208"/>
        <v>0.20209624924256928</v>
      </c>
      <c r="AG148" s="5"/>
      <c r="AH148" s="5">
        <f t="shared" si="209"/>
        <v>0.20557562006113542</v>
      </c>
      <c r="AI148" s="5"/>
      <c r="AJ148" s="5">
        <f t="shared" si="210"/>
        <v>0.21306415588096927</v>
      </c>
      <c r="AK148" s="5"/>
      <c r="AL148" s="5">
        <f t="shared" si="211"/>
        <v>0.21645827183549224</v>
      </c>
      <c r="AM148" s="5"/>
      <c r="AN148" s="5">
        <f t="shared" si="212"/>
        <v>0.22356590915340865</v>
      </c>
      <c r="AO148" s="5"/>
      <c r="AP148" s="5">
        <f t="shared" si="213"/>
        <v>0.22705003719742067</v>
      </c>
      <c r="AQ148" s="5"/>
      <c r="AR148" s="5">
        <f t="shared" si="214"/>
        <v>0.23386852690902579</v>
      </c>
      <c r="AS148" s="5"/>
      <c r="AT148" s="5">
        <f t="shared" si="215"/>
        <v>0.23731878918880744</v>
      </c>
      <c r="AU148" s="5"/>
      <c r="AV148" s="5">
        <f t="shared" si="216"/>
        <v>0.24376690992220243</v>
      </c>
      <c r="AW148" s="5"/>
      <c r="AX148" s="5">
        <f t="shared" si="217"/>
        <v>0.24715215425194534</v>
      </c>
      <c r="AY148" s="5"/>
      <c r="AZ148" s="5">
        <f t="shared" si="218"/>
        <v>0.25318834862459916</v>
      </c>
      <c r="BA148" s="5"/>
      <c r="BB148" s="5">
        <f t="shared" si="219"/>
        <v>0.25641406332251832</v>
      </c>
      <c r="BC148" s="5"/>
      <c r="BD148" s="5">
        <f t="shared" si="220"/>
        <v>0.26215051592478256</v>
      </c>
      <c r="BE148" s="5"/>
      <c r="BF148" s="5">
        <f t="shared" si="221"/>
        <v>0.2652237592636259</v>
      </c>
      <c r="BG148" s="5"/>
      <c r="BH148" s="5">
        <f t="shared" si="222"/>
        <v>0.27064966175516852</v>
      </c>
    </row>
    <row r="149" spans="2:60" x14ac:dyDescent="0.3">
      <c r="B149" s="34"/>
      <c r="C149" s="35" t="s">
        <v>37</v>
      </c>
      <c r="D149" s="36">
        <f t="shared" si="225"/>
        <v>-1.2</v>
      </c>
      <c r="E149" s="5"/>
      <c r="F149" s="5"/>
      <c r="G149" s="5"/>
      <c r="H149" s="5">
        <f t="shared" si="196"/>
        <v>0.12328550755338845</v>
      </c>
      <c r="I149" s="5"/>
      <c r="J149" s="5">
        <f t="shared" si="197"/>
        <v>0.13448774443897371</v>
      </c>
      <c r="K149" s="5"/>
      <c r="L149" s="5">
        <f t="shared" si="198"/>
        <v>0.14164410868435209</v>
      </c>
      <c r="M149" s="5"/>
      <c r="N149" s="5">
        <f t="shared" si="199"/>
        <v>0.14674525023585924</v>
      </c>
      <c r="O149" s="5"/>
      <c r="P149" s="5">
        <f t="shared" si="200"/>
        <v>0.15062824690522014</v>
      </c>
      <c r="Q149" s="5"/>
      <c r="R149" s="5">
        <f t="shared" si="201"/>
        <v>0.15558647331881972</v>
      </c>
      <c r="S149" s="5"/>
      <c r="T149" s="5">
        <f t="shared" si="202"/>
        <v>0.15857537932516172</v>
      </c>
      <c r="U149" s="5"/>
      <c r="V149" s="5">
        <f t="shared" si="203"/>
        <v>0.16409946917113175</v>
      </c>
      <c r="W149" s="5"/>
      <c r="X149" s="5">
        <f t="shared" si="204"/>
        <v>0.16679277761206715</v>
      </c>
      <c r="Y149" s="5"/>
      <c r="Z149" s="5">
        <f t="shared" si="205"/>
        <v>0.17268518331838312</v>
      </c>
      <c r="AA149" s="5"/>
      <c r="AB149" s="5">
        <f t="shared" si="206"/>
        <v>0.17535166630651411</v>
      </c>
      <c r="AC149" s="5"/>
      <c r="AD149" s="5">
        <f t="shared" si="207"/>
        <v>0.18142797178477241</v>
      </c>
      <c r="AE149" s="5"/>
      <c r="AF149" s="5">
        <f t="shared" si="208"/>
        <v>0.18408382567940099</v>
      </c>
      <c r="AG149" s="5"/>
      <c r="AH149" s="5">
        <f t="shared" si="209"/>
        <v>0.19017580606304724</v>
      </c>
      <c r="AI149" s="5"/>
      <c r="AJ149" s="5">
        <f t="shared" si="210"/>
        <v>0.19282469802754842</v>
      </c>
      <c r="AK149" s="5"/>
      <c r="AL149" s="5">
        <f t="shared" si="211"/>
        <v>0.19878015249416245</v>
      </c>
      <c r="AM149" s="5"/>
      <c r="AN149" s="5">
        <f t="shared" si="212"/>
        <v>0.20141658141162153</v>
      </c>
      <c r="AO149" s="5"/>
      <c r="AP149" s="5">
        <f t="shared" si="213"/>
        <v>0.20722204075358627</v>
      </c>
      <c r="AQ149" s="5"/>
      <c r="AR149" s="5">
        <f t="shared" si="214"/>
        <v>0.20992796042272441</v>
      </c>
      <c r="AS149" s="5"/>
      <c r="AT149" s="5">
        <f t="shared" si="215"/>
        <v>0.21560080066538756</v>
      </c>
      <c r="AU149" s="5"/>
      <c r="AV149" s="5">
        <f t="shared" si="216"/>
        <v>0.21833008203464671</v>
      </c>
      <c r="AW149" s="5"/>
      <c r="AX149" s="5">
        <f t="shared" si="217"/>
        <v>0.22381768476280431</v>
      </c>
      <c r="AY149" s="5"/>
      <c r="AZ149" s="5">
        <f t="shared" si="218"/>
        <v>0.22654462046312335</v>
      </c>
      <c r="BA149" s="5"/>
      <c r="BB149" s="5">
        <f t="shared" si="219"/>
        <v>0.23180300866003539</v>
      </c>
      <c r="BC149" s="5"/>
      <c r="BD149" s="5">
        <f t="shared" si="220"/>
        <v>0.23447050486772339</v>
      </c>
      <c r="BE149" s="5"/>
      <c r="BF149" s="5">
        <f t="shared" si="221"/>
        <v>0.23953407498642229</v>
      </c>
      <c r="BG149" s="5"/>
      <c r="BH149" s="5">
        <f t="shared" si="222"/>
        <v>0.24212751164349902</v>
      </c>
    </row>
    <row r="150" spans="2:60" x14ac:dyDescent="0.3">
      <c r="B150" s="34"/>
      <c r="C150" s="35" t="s">
        <v>37</v>
      </c>
      <c r="D150" s="36">
        <f t="shared" si="225"/>
        <v>-1.4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>
        <f>$E$95*$E$96*$E$97*$E$88*VLOOKUP(Q$2,$BN$89:$BQ$116,2,0)*($E$98+R51-(VLOOKUP(Q$101,$BN$89:$BQ$116,3,0)))</f>
        <v>-0.10916097565448769</v>
      </c>
      <c r="S150" s="5"/>
      <c r="T150" s="5">
        <f>$E$95*$E$96*$E$97*$E$88*VLOOKUP(S$2,$BN$89:$BQ$116,2,0)*($E$98+T51-(VLOOKUP(S$101,$BN$89:$BQ$116,3,0)))</f>
        <v>-0.11001153476487012</v>
      </c>
      <c r="U150" s="5"/>
      <c r="V150" s="5">
        <f>$E$95*$E$96*$E$97*$E$88*VLOOKUP(U$2,$BN$89:$BQ$116,2,0)*($E$98+V51-(VLOOKUP(U$101,$BN$89:$BQ$116,3,0)))</f>
        <v>-0.11129859503957118</v>
      </c>
      <c r="W150" s="5"/>
      <c r="X150" s="5">
        <f>$E$95*$E$96*$E$97*$E$88*VLOOKUP(W$2,$BN$89:$BQ$116,2,0)*($E$98+X51-(VLOOKUP(W$101,$BN$89:$BQ$116,3,0)))</f>
        <v>-0.11063887732214295</v>
      </c>
      <c r="Y150" s="5"/>
      <c r="Z150" s="5">
        <f>$E$95*$E$96*$E$97*$E$88*VLOOKUP(Y$2,$BN$89:$BQ$116,2,0)*($E$98+Z51-(VLOOKUP(Y$101,$BN$89:$BQ$116,3,0)))</f>
        <v>-0.11127643252152818</v>
      </c>
      <c r="AA150" s="5"/>
      <c r="AB150" s="5">
        <f t="shared" ref="AB150:AB155" si="226">$E$95*$E$96*$E$97*$E$88*VLOOKUP(AA$2,$BN$89:$BQ$116,2,0)*($E$98+AB51-(VLOOKUP(AA$101,$BN$89:$BQ$116,3,0)))</f>
        <v>-0.10954323446574045</v>
      </c>
      <c r="AC150" s="5"/>
      <c r="AD150" s="5">
        <f t="shared" ref="AD150:AD156" si="227">$E$95*$E$96*$E$97*$E$88*VLOOKUP(AC$2,$BN$89:$BQ$116,2,0)*($E$98+AD51-(VLOOKUP(AC$101,$BN$89:$BQ$116,3,0)))</f>
        <v>-0.10965569588122645</v>
      </c>
      <c r="AE150" s="5"/>
      <c r="AF150" s="5">
        <f t="shared" ref="AF150:AF157" si="228">$E$95*$E$96*$E$97*$E$88*VLOOKUP(AE$2,$BN$89:$BQ$116,2,0)*($E$98+AF51-(VLOOKUP(AE$101,$BN$89:$BQ$116,3,0)))</f>
        <v>-0.10717315988621533</v>
      </c>
      <c r="AG150" s="5"/>
      <c r="AH150" s="5">
        <f t="shared" ref="AH150:AH158" si="229">$E$95*$E$96*$E$97*$E$88*VLOOKUP(AG$2,$BN$89:$BQ$116,2,0)*($E$98+AH51-(VLOOKUP(AG$101,$BN$89:$BQ$116,3,0)))</f>
        <v>-0.10688989038337579</v>
      </c>
      <c r="AI150" s="5"/>
      <c r="AJ150" s="5">
        <f t="shared" ref="AJ150:AJ159" si="230">$E$95*$E$96*$E$97*$E$88*VLOOKUP(AI$2,$BN$89:$BQ$116,2,0)*($E$98+AJ51-(VLOOKUP(AI$101,$BN$89:$BQ$116,3,0)))</f>
        <v>-0.1039077571290134</v>
      </c>
      <c r="AK150" s="5"/>
      <c r="AL150" s="5">
        <f t="shared" ref="AL150:AL160" si="231">$E$95*$E$96*$E$97*$E$88*VLOOKUP(AK$2,$BN$89:$BQ$116,2,0)*($E$98+AL51-(VLOOKUP(AK$101,$BN$89:$BQ$116,3,0)))</f>
        <v>-0.10332233360847613</v>
      </c>
      <c r="AM150" s="5"/>
      <c r="AN150" s="5">
        <f t="shared" ref="AN150:AN161" si="232">$E$95*$E$96*$E$97*$E$88*VLOOKUP(AM$2,$BN$89:$BQ$116,2,0)*($E$98+AN51-(VLOOKUP(AM$101,$BN$89:$BQ$116,3,0)))</f>
        <v>-0.10004231153220414</v>
      </c>
      <c r="AO150" s="5"/>
      <c r="AP150" s="5">
        <f t="shared" ref="AP150:AP162" si="233">$E$95*$E$96*$E$97*$E$88*VLOOKUP(AO$2,$BN$89:$BQ$116,2,0)*($E$98+AP51-(VLOOKUP(AO$101,$BN$89:$BQ$116,3,0)))</f>
        <v>-9.9224547016267803E-2</v>
      </c>
      <c r="AQ150" s="5"/>
      <c r="AR150" s="5">
        <f t="shared" ref="AR150:AR163" si="234">$E$95*$E$96*$E$97*$E$88*VLOOKUP(AQ$2,$BN$89:$BQ$116,2,0)*($E$98+AR51-(VLOOKUP(AQ$101,$BN$89:$BQ$116,3,0)))</f>
        <v>-9.5753370636628157E-2</v>
      </c>
      <c r="AS150" s="5"/>
      <c r="AT150" s="5">
        <f t="shared" si="215"/>
        <v>0.19787544206564978</v>
      </c>
      <c r="AU150" s="5"/>
      <c r="AV150" s="5">
        <f t="shared" ref="AV150:AV165" si="235">$E$95*$E$96*$E$97*$E$88*VLOOKUP(AU$2,$BN$89:$BQ$116,2,0)*($E$98+AV51-(VLOOKUP(AU$101,$BN$89:$BQ$116,3,0)))</f>
        <v>-9.1107612318195141E-2</v>
      </c>
      <c r="AW150" s="5"/>
      <c r="AX150" s="5">
        <f t="shared" ref="AX150:AX166" si="236">$E$95*$E$96*$E$97*$E$88*VLOOKUP(AW$2,$BN$89:$BQ$116,2,0)*($E$98+AX51-(VLOOKUP(AW$101,$BN$89:$BQ$116,3,0)))</f>
        <v>-8.9890028918393414E-2</v>
      </c>
      <c r="AY150" s="5"/>
      <c r="AZ150" s="5">
        <f t="shared" ref="AZ150:AZ167" si="237">$E$95*$E$96*$E$97*$E$88*VLOOKUP(AY$2,$BN$89:$BQ$116,2,0)*($E$98+AZ51-(VLOOKUP(AY$101,$BN$89:$BQ$116,3,0)))</f>
        <v>-8.6225751939147999E-2</v>
      </c>
      <c r="BA150" s="5"/>
      <c r="BB150" s="5">
        <f t="shared" ref="BB150:BB168" si="238">$E$95*$E$96*$E$97*$E$88*VLOOKUP(BA$2,$BN$89:$BQ$116,2,0)*($E$98+BB51-(VLOOKUP(BA$101,$BN$89:$BQ$116,3,0)))</f>
        <v>-8.4873465423467673E-2</v>
      </c>
      <c r="BC150" s="5"/>
      <c r="BD150" s="5">
        <f t="shared" si="220"/>
        <v>0.21574191641237364</v>
      </c>
      <c r="BE150" s="5"/>
      <c r="BF150" s="5">
        <f t="shared" si="221"/>
        <v>0.21790699156718785</v>
      </c>
      <c r="BG150" s="5"/>
      <c r="BH150" s="5">
        <f t="shared" si="222"/>
        <v>0.22224176063044238</v>
      </c>
    </row>
    <row r="151" spans="2:60" x14ac:dyDescent="0.3">
      <c r="B151" s="34"/>
      <c r="C151" s="35" t="s">
        <v>37</v>
      </c>
      <c r="D151" s="36">
        <f t="shared" si="225"/>
        <v>-1.5999999999999999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>
        <f>$E$95*$E$96*$E$97*$E$88*VLOOKUP(S$2,$BN$89:$BQ$116,2,0)*($E$98+T52-(VLOOKUP(S$101,$BN$89:$BQ$116,3,0)))</f>
        <v>-0.11096172615934971</v>
      </c>
      <c r="U151" s="5"/>
      <c r="V151" s="5">
        <f>$E$95*$E$96*$E$97*$E$88*VLOOKUP(U$2,$BN$89:$BQ$116,2,0)*($E$98+V52-(VLOOKUP(U$101,$BN$89:$BQ$116,3,0)))</f>
        <v>-0.11199420817551399</v>
      </c>
      <c r="W151" s="5"/>
      <c r="X151" s="5">
        <f>$E$95*$E$96*$E$97*$E$88*VLOOKUP(W$2,$BN$89:$BQ$116,2,0)*($E$98+X52-(VLOOKUP(W$101,$BN$89:$BQ$116,3,0)))</f>
        <v>-0.11317737345461824</v>
      </c>
      <c r="Y151" s="5"/>
      <c r="Z151" s="5">
        <f>$E$95*$E$96*$E$97*$E$88*VLOOKUP(Y$2,$BN$89:$BQ$116,2,0)*($E$98+Z52-(VLOOKUP(Y$101,$BN$89:$BQ$116,3,0)))</f>
        <v>-0.11319507725985259</v>
      </c>
      <c r="AA151" s="5"/>
      <c r="AB151" s="5">
        <f t="shared" si="226"/>
        <v>-0.11391402686999891</v>
      </c>
      <c r="AC151" s="5"/>
      <c r="AD151" s="5">
        <f t="shared" si="227"/>
        <v>-0.1131125848190339</v>
      </c>
      <c r="AE151" s="5"/>
      <c r="AF151" s="5">
        <f t="shared" si="228"/>
        <v>-0.11344379186316166</v>
      </c>
      <c r="AG151" s="5"/>
      <c r="AH151" s="5">
        <f t="shared" si="229"/>
        <v>-0.112002235427538</v>
      </c>
      <c r="AI151" s="5"/>
      <c r="AJ151" s="5">
        <f t="shared" si="230"/>
        <v>-0.11201823402819643</v>
      </c>
      <c r="AK151" s="5"/>
      <c r="AL151" s="5">
        <f t="shared" si="231"/>
        <v>-0.11009403834636769</v>
      </c>
      <c r="AM151" s="5"/>
      <c r="AN151" s="5">
        <f t="shared" si="232"/>
        <v>-0.1098533907995967</v>
      </c>
      <c r="AO151" s="5"/>
      <c r="AP151" s="5">
        <f t="shared" si="233"/>
        <v>-0.10758569579697898</v>
      </c>
      <c r="AQ151" s="5"/>
      <c r="AR151" s="5">
        <f t="shared" si="234"/>
        <v>-0.10713570599675276</v>
      </c>
      <c r="AS151" s="5"/>
      <c r="AT151" s="5">
        <f t="shared" si="215"/>
        <v>0.18796905334987596</v>
      </c>
      <c r="AU151" s="5"/>
      <c r="AV151" s="5">
        <f t="shared" si="235"/>
        <v>-0.10397408873833852</v>
      </c>
      <c r="AW151" s="5"/>
      <c r="AX151" s="5">
        <f t="shared" si="236"/>
        <v>-0.10126666619030969</v>
      </c>
      <c r="AY151" s="5"/>
      <c r="AZ151" s="5">
        <f t="shared" si="237"/>
        <v>-0.10045930523955419</v>
      </c>
      <c r="BA151" s="5"/>
      <c r="BB151" s="5">
        <f t="shared" si="238"/>
        <v>-9.7622206418821106E-2</v>
      </c>
      <c r="BC151" s="5"/>
      <c r="BD151" s="5">
        <f t="shared" si="220"/>
        <v>0.20027391397631131</v>
      </c>
      <c r="BE151" s="5"/>
      <c r="BF151" s="5">
        <f t="shared" si="221"/>
        <v>0.20391750947225967</v>
      </c>
      <c r="BG151" s="5"/>
      <c r="BH151" s="5">
        <f t="shared" si="222"/>
        <v>0.20565379174924867</v>
      </c>
    </row>
    <row r="152" spans="2:60" x14ac:dyDescent="0.3">
      <c r="B152" s="34"/>
      <c r="C152" s="35" t="s">
        <v>37</v>
      </c>
      <c r="D152" s="36">
        <f t="shared" si="225"/>
        <v>-1.7999999999999998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>
        <f>$E$95*$E$96*$E$97*$E$88*VLOOKUP(U$2,$BN$89:$BQ$116,2,0)*($E$98+V53-(VLOOKUP(U$101,$BN$89:$BQ$116,3,0)))</f>
        <v>-0.11247578650039748</v>
      </c>
      <c r="W152" s="5"/>
      <c r="X152" s="5">
        <f>$E$95*$E$96*$E$97*$E$88*VLOOKUP(W$2,$BN$89:$BQ$116,2,0)*($E$98+X53-(VLOOKUP(W$101,$BN$89:$BQ$116,3,0)))</f>
        <v>-0.11352919061583548</v>
      </c>
      <c r="Y152" s="5"/>
      <c r="Z152" s="5">
        <f>$E$95*$E$96*$E$97*$E$88*VLOOKUP(Y$2,$BN$89:$BQ$116,2,0)*($E$98+Z53-(VLOOKUP(Y$101,$BN$89:$BQ$116,3,0)))</f>
        <v>-0.11459989691156025</v>
      </c>
      <c r="AA152" s="5"/>
      <c r="AB152" s="5">
        <f t="shared" si="226"/>
        <v>-0.11497123209676215</v>
      </c>
      <c r="AC152" s="5"/>
      <c r="AD152" s="5">
        <f t="shared" si="227"/>
        <v>-0.11570282100586028</v>
      </c>
      <c r="AE152" s="5"/>
      <c r="AF152" s="5">
        <f t="shared" si="228"/>
        <v>-0.11547480824102196</v>
      </c>
      <c r="AG152" s="5"/>
      <c r="AH152" s="5">
        <f t="shared" si="229"/>
        <v>-0.11591879255548178</v>
      </c>
      <c r="AI152" s="5"/>
      <c r="AJ152" s="5">
        <f t="shared" si="230"/>
        <v>-0.11518145882272716</v>
      </c>
      <c r="AK152" s="5"/>
      <c r="AL152" s="5">
        <f t="shared" si="231"/>
        <v>-0.11538046758435638</v>
      </c>
      <c r="AM152" s="5"/>
      <c r="AN152" s="5">
        <f t="shared" si="232"/>
        <v>-0.11422434381345917</v>
      </c>
      <c r="AO152" s="5"/>
      <c r="AP152" s="5">
        <f t="shared" si="233"/>
        <v>-0.11421422548518172</v>
      </c>
      <c r="AQ152" s="5"/>
      <c r="AR152" s="5">
        <f t="shared" si="234"/>
        <v>-0.11272749317314106</v>
      </c>
      <c r="AS152" s="5"/>
      <c r="AT152" s="5">
        <f t="shared" si="215"/>
        <v>0.18004784844157032</v>
      </c>
      <c r="AU152" s="5"/>
      <c r="AV152" s="5">
        <f t="shared" si="235"/>
        <v>-0.11079055547116597</v>
      </c>
      <c r="AW152" s="5"/>
      <c r="AX152" s="5">
        <f t="shared" si="236"/>
        <v>-0.11043822578737975</v>
      </c>
      <c r="AY152" s="5"/>
      <c r="AZ152" s="5">
        <f t="shared" si="237"/>
        <v>-0.10847970427346583</v>
      </c>
      <c r="BA152" s="5"/>
      <c r="BB152" s="5">
        <f t="shared" si="238"/>
        <v>-0.1079825676558443</v>
      </c>
      <c r="BC152" s="5"/>
      <c r="BD152" s="5">
        <f t="shared" si="220"/>
        <v>0.19109220354887674</v>
      </c>
      <c r="BE152" s="5"/>
      <c r="BF152" s="5">
        <f t="shared" si="221"/>
        <v>0.19244567816705302</v>
      </c>
      <c r="BG152" s="5"/>
      <c r="BH152" s="5">
        <f t="shared" si="222"/>
        <v>0.19537949344319167</v>
      </c>
    </row>
    <row r="153" spans="2:60" x14ac:dyDescent="0.3">
      <c r="B153" s="34"/>
      <c r="C153" s="35" t="s">
        <v>37</v>
      </c>
      <c r="D153" s="36">
        <f t="shared" si="225"/>
        <v>-1.9999999999999998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>
        <f>$E$95*$E$96*$E$97*$E$88*VLOOKUP(W$2,$BN$89:$BQ$116,2,0)*($E$98+X54-(VLOOKUP(W$101,$BN$89:$BQ$116,3,0)))</f>
        <v>-0.11377275634283206</v>
      </c>
      <c r="Y153" s="5"/>
      <c r="Z153" s="5">
        <f>$E$95*$E$96*$E$97*$E$88*VLOOKUP(Y$2,$BN$89:$BQ$116,2,0)*($E$98+Z54-(VLOOKUP(Y$101,$BN$89:$BQ$116,3,0)))</f>
        <v>-0.11477754920214583</v>
      </c>
      <c r="AA153" s="5"/>
      <c r="AB153" s="5">
        <f t="shared" si="226"/>
        <v>-0.11574173760101332</v>
      </c>
      <c r="AC153" s="5"/>
      <c r="AD153" s="5">
        <f t="shared" si="227"/>
        <v>-0.11628058950651432</v>
      </c>
      <c r="AE153" s="5"/>
      <c r="AF153" s="5">
        <f t="shared" si="228"/>
        <v>-0.11698985557004891</v>
      </c>
      <c r="AG153" s="5"/>
      <c r="AH153" s="5">
        <f t="shared" si="229"/>
        <v>-0.11709822631343431</v>
      </c>
      <c r="AI153" s="5"/>
      <c r="AJ153" s="5">
        <f t="shared" si="230"/>
        <v>-0.11759107596616149</v>
      </c>
      <c r="AK153" s="5"/>
      <c r="AL153" s="5">
        <f t="shared" si="231"/>
        <v>-0.11731072153026985</v>
      </c>
      <c r="AM153" s="5"/>
      <c r="AN153" s="5">
        <f t="shared" si="232"/>
        <v>-0.11761458165081234</v>
      </c>
      <c r="AO153" s="5"/>
      <c r="AP153" s="5">
        <f t="shared" si="233"/>
        <v>-0.11699319269020772</v>
      </c>
      <c r="AQ153" s="5"/>
      <c r="AR153" s="5">
        <f t="shared" si="234"/>
        <v>-0.11713044880767352</v>
      </c>
      <c r="AS153" s="5"/>
      <c r="AT153" s="5">
        <f t="shared" si="215"/>
        <v>0.17636707146758054</v>
      </c>
      <c r="AU153" s="5"/>
      <c r="AV153" s="5">
        <f t="shared" si="235"/>
        <v>-0.11620967240648526</v>
      </c>
      <c r="AW153" s="5"/>
      <c r="AX153" s="5">
        <f t="shared" si="236"/>
        <v>-0.11505525417616104</v>
      </c>
      <c r="AY153" s="5"/>
      <c r="AZ153" s="5">
        <f t="shared" si="237"/>
        <v>-0.11490967554581676</v>
      </c>
      <c r="BA153" s="5"/>
      <c r="BB153" s="5">
        <f t="shared" si="238"/>
        <v>-0.11354950625247831</v>
      </c>
      <c r="BC153" s="5"/>
      <c r="BD153" s="5">
        <f t="shared" si="220"/>
        <v>0.18367285116447146</v>
      </c>
      <c r="BE153" s="5"/>
      <c r="BF153" s="5">
        <f t="shared" si="221"/>
        <v>0.18593427037478127</v>
      </c>
      <c r="BG153" s="5"/>
      <c r="BH153" s="5">
        <f t="shared" si="222"/>
        <v>0.18700712832336447</v>
      </c>
    </row>
    <row r="154" spans="2:60" x14ac:dyDescent="0.3">
      <c r="B154" s="34"/>
      <c r="C154" s="35" t="s">
        <v>37</v>
      </c>
      <c r="D154" s="36">
        <f t="shared" si="225"/>
        <v>-2.1999999999999997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>
        <f>$E$95*$E$96*$E$97*$E$88*VLOOKUP(Y$2,$BN$89:$BQ$116,2,0)*($E$98+Z55-(VLOOKUP(Y$101,$BN$89:$BQ$116,3,0)))</f>
        <v>-0.11490053924947433</v>
      </c>
      <c r="AA154" s="5"/>
      <c r="AB154" s="5">
        <f t="shared" si="226"/>
        <v>-0.11583133126429834</v>
      </c>
      <c r="AC154" s="5"/>
      <c r="AD154" s="5">
        <f t="shared" si="227"/>
        <v>-0.11670002721612374</v>
      </c>
      <c r="AE154" s="5"/>
      <c r="AF154" s="5">
        <f t="shared" si="228"/>
        <v>-0.11730342212614885</v>
      </c>
      <c r="AG154" s="5"/>
      <c r="AH154" s="5">
        <f t="shared" si="229"/>
        <v>-0.11797449266439262</v>
      </c>
      <c r="AI154" s="5"/>
      <c r="AJ154" s="5">
        <f t="shared" si="230"/>
        <v>-0.11826909298590088</v>
      </c>
      <c r="AK154" s="5"/>
      <c r="AL154" s="5">
        <f t="shared" si="231"/>
        <v>-0.11877378364928157</v>
      </c>
      <c r="AM154" s="5"/>
      <c r="AN154" s="5">
        <f t="shared" si="232"/>
        <v>-0.1187781934685037</v>
      </c>
      <c r="AO154" s="5"/>
      <c r="AP154" s="5">
        <f t="shared" si="233"/>
        <v>-0.11913635528955509</v>
      </c>
      <c r="AQ154" s="5"/>
      <c r="AR154" s="5">
        <f t="shared" si="234"/>
        <v>-0.11887367395497092</v>
      </c>
      <c r="AS154" s="5"/>
      <c r="AT154" s="5">
        <f t="shared" si="215"/>
        <v>0.17348642806086545</v>
      </c>
      <c r="AU154" s="5"/>
      <c r="AV154" s="5">
        <f t="shared" si="235"/>
        <v>-0.11859830353453321</v>
      </c>
      <c r="AW154" s="5"/>
      <c r="AX154" s="5">
        <f t="shared" si="236"/>
        <v>-0.11870585097094252</v>
      </c>
      <c r="AY154" s="5"/>
      <c r="AZ154" s="5">
        <f t="shared" si="237"/>
        <v>-0.1179924195254425</v>
      </c>
      <c r="BA154" s="5"/>
      <c r="BB154" s="5">
        <f t="shared" si="238"/>
        <v>-0.11798927208620005</v>
      </c>
      <c r="BC154" s="5"/>
      <c r="BD154" s="5">
        <f t="shared" si="220"/>
        <v>0.17986370629098805</v>
      </c>
      <c r="BE154" s="5"/>
      <c r="BF154" s="5">
        <f t="shared" si="221"/>
        <v>0.18070024690489134</v>
      </c>
      <c r="BG154" s="5"/>
      <c r="BH154" s="5">
        <f t="shared" si="222"/>
        <v>0.18245470103253683</v>
      </c>
    </row>
    <row r="155" spans="2:60" x14ac:dyDescent="0.3">
      <c r="B155" s="34"/>
      <c r="C155" s="35" t="s">
        <v>37</v>
      </c>
      <c r="D155" s="36">
        <f t="shared" si="225"/>
        <v>-2.4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>
        <f t="shared" si="226"/>
        <v>-0.11589335764657258</v>
      </c>
      <c r="AC155" s="5"/>
      <c r="AD155" s="5">
        <f t="shared" si="227"/>
        <v>-0.11674516538023735</v>
      </c>
      <c r="AE155" s="5"/>
      <c r="AF155" s="5">
        <f t="shared" si="228"/>
        <v>-0.11753029469572394</v>
      </c>
      <c r="AG155" s="5"/>
      <c r="AH155" s="5">
        <f t="shared" si="229"/>
        <v>-0.1181436614843047</v>
      </c>
      <c r="AI155" s="5"/>
      <c r="AJ155" s="5">
        <f t="shared" si="230"/>
        <v>-0.11877099709609264</v>
      </c>
      <c r="AK155" s="5"/>
      <c r="AL155" s="5">
        <f t="shared" si="231"/>
        <v>-0.11916011876973967</v>
      </c>
      <c r="AM155" s="5"/>
      <c r="AN155" s="5">
        <f t="shared" si="232"/>
        <v>-0.11965625801672632</v>
      </c>
      <c r="AO155" s="5"/>
      <c r="AP155" s="5">
        <f t="shared" si="233"/>
        <v>-0.11983029034592915</v>
      </c>
      <c r="AQ155" s="5"/>
      <c r="AR155" s="5">
        <f t="shared" si="234"/>
        <v>-0.12021123317306644</v>
      </c>
      <c r="AS155" s="5"/>
      <c r="AT155" s="5">
        <f t="shared" si="215"/>
        <v>0.17240598075538857</v>
      </c>
      <c r="AU155" s="5"/>
      <c r="AV155" s="5">
        <f t="shared" si="235"/>
        <v>-0.12045748292249733</v>
      </c>
      <c r="AW155" s="5"/>
      <c r="AX155" s="5">
        <f t="shared" si="236"/>
        <v>-0.12023619459185735</v>
      </c>
      <c r="AY155" s="5"/>
      <c r="AZ155" s="5">
        <f t="shared" si="237"/>
        <v>-0.12041746868177661</v>
      </c>
      <c r="BA155" s="5"/>
      <c r="BB155" s="5">
        <f t="shared" si="238"/>
        <v>-0.12002081718969694</v>
      </c>
      <c r="BC155" s="5"/>
      <c r="BD155" s="5">
        <f t="shared" si="220"/>
        <v>0.17684070216692055</v>
      </c>
      <c r="BE155" s="5"/>
      <c r="BF155" s="5">
        <f t="shared" si="221"/>
        <v>0.17812793843464017</v>
      </c>
      <c r="BG155" s="5"/>
      <c r="BH155" s="5">
        <f t="shared" si="222"/>
        <v>0.17881321830532662</v>
      </c>
    </row>
    <row r="156" spans="2:60" x14ac:dyDescent="0.3">
      <c r="B156" s="34"/>
      <c r="C156" s="35" t="s">
        <v>37</v>
      </c>
      <c r="D156" s="36">
        <f t="shared" si="225"/>
        <v>-2.6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>
        <f t="shared" si="227"/>
        <v>-0.11677641487846983</v>
      </c>
      <c r="AE156" s="5"/>
      <c r="AF156" s="5">
        <f t="shared" si="228"/>
        <v>-0.11755301690993408</v>
      </c>
      <c r="AG156" s="5"/>
      <c r="AH156" s="5">
        <f t="shared" si="229"/>
        <v>-0.11826570219222464</v>
      </c>
      <c r="AI156" s="5"/>
      <c r="AJ156" s="5">
        <f t="shared" si="230"/>
        <v>-0.11886179426381625</v>
      </c>
      <c r="AK156" s="5"/>
      <c r="AL156" s="5">
        <f t="shared" si="231"/>
        <v>-0.11944516087333432</v>
      </c>
      <c r="AM156" s="5"/>
      <c r="AN156" s="5">
        <f t="shared" si="232"/>
        <v>-0.11987468070143718</v>
      </c>
      <c r="AO156" s="5"/>
      <c r="AP156" s="5">
        <f t="shared" si="233"/>
        <v>-0.12035185091242306</v>
      </c>
      <c r="AQ156" s="5"/>
      <c r="AR156" s="5">
        <f t="shared" si="234"/>
        <v>-0.12062111166578003</v>
      </c>
      <c r="AS156" s="5"/>
      <c r="AT156" s="5">
        <f t="shared" si="215"/>
        <v>0.17158074846705962</v>
      </c>
      <c r="AU156" s="5"/>
      <c r="AV156" s="5">
        <f t="shared" si="235"/>
        <v>-0.12111994041792777</v>
      </c>
      <c r="AW156" s="5"/>
      <c r="AX156" s="5">
        <f t="shared" si="236"/>
        <v>-0.12142144514745995</v>
      </c>
      <c r="AY156" s="5"/>
      <c r="AZ156" s="5">
        <f t="shared" si="237"/>
        <v>-0.12138659907278178</v>
      </c>
      <c r="BA156" s="5"/>
      <c r="BB156" s="5">
        <f t="shared" si="238"/>
        <v>-0.12161134117825473</v>
      </c>
      <c r="BC156" s="5"/>
      <c r="BD156" s="5">
        <f t="shared" si="220"/>
        <v>0.17551785589618166</v>
      </c>
      <c r="BE156" s="5"/>
      <c r="BF156" s="5">
        <f t="shared" si="221"/>
        <v>0.17609590497364794</v>
      </c>
      <c r="BG156" s="5"/>
      <c r="BH156" s="5">
        <f t="shared" si="222"/>
        <v>0.17709710790348129</v>
      </c>
    </row>
    <row r="157" spans="2:60" x14ac:dyDescent="0.3">
      <c r="B157" s="34"/>
      <c r="C157" s="35" t="s">
        <v>37</v>
      </c>
      <c r="D157" s="36">
        <f t="shared" si="225"/>
        <v>-2.8000000000000003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>
        <f t="shared" si="228"/>
        <v>-0.11756874767361804</v>
      </c>
      <c r="AG157" s="5"/>
      <c r="AH157" s="5">
        <f t="shared" si="229"/>
        <v>-0.11827713251789439</v>
      </c>
      <c r="AI157" s="5"/>
      <c r="AJ157" s="5">
        <f t="shared" si="230"/>
        <v>-0.11892712932413539</v>
      </c>
      <c r="AK157" s="5"/>
      <c r="AL157" s="5">
        <f t="shared" si="231"/>
        <v>-0.1194936748972005</v>
      </c>
      <c r="AM157" s="5"/>
      <c r="AN157" s="5">
        <f t="shared" si="232"/>
        <v>-0.1200353512500598</v>
      </c>
      <c r="AO157" s="5"/>
      <c r="AP157" s="5">
        <f t="shared" si="233"/>
        <v>-0.12047448733934314</v>
      </c>
      <c r="AQ157" s="5"/>
      <c r="AR157" s="5">
        <f t="shared" si="234"/>
        <v>-0.12092806637709951</v>
      </c>
      <c r="AS157" s="5"/>
      <c r="AT157" s="5">
        <f t="shared" si="215"/>
        <v>0.17134072871744302</v>
      </c>
      <c r="AU157" s="5"/>
      <c r="AV157" s="5">
        <f t="shared" si="235"/>
        <v>-0.12162382801488612</v>
      </c>
      <c r="AW157" s="5"/>
      <c r="AX157" s="5">
        <f t="shared" si="236"/>
        <v>-0.12182366714950491</v>
      </c>
      <c r="AY157" s="5"/>
      <c r="AZ157" s="5">
        <f t="shared" si="237"/>
        <v>-0.12213381686440659</v>
      </c>
      <c r="BA157" s="5"/>
      <c r="BB157" s="5">
        <f t="shared" si="238"/>
        <v>-0.12221861033880983</v>
      </c>
      <c r="BC157" s="5"/>
      <c r="BD157" s="5">
        <f t="shared" si="220"/>
        <v>0.17448676703444277</v>
      </c>
      <c r="BE157" s="5"/>
      <c r="BF157" s="5">
        <f t="shared" si="221"/>
        <v>0.17524396106826301</v>
      </c>
      <c r="BG157" s="5"/>
      <c r="BH157" s="5">
        <f t="shared" si="222"/>
        <v>0.17574730347194403</v>
      </c>
    </row>
    <row r="158" spans="2:60" x14ac:dyDescent="0.3">
      <c r="B158" s="34"/>
      <c r="C158" s="35" t="s">
        <v>37</v>
      </c>
      <c r="D158" s="36">
        <f t="shared" si="225"/>
        <v>-3.0000000000000004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>
        <f t="shared" si="229"/>
        <v>-0.11828504582028114</v>
      </c>
      <c r="AI158" s="5"/>
      <c r="AJ158" s="5">
        <f t="shared" si="230"/>
        <v>-0.11893287598032044</v>
      </c>
      <c r="AK158" s="5"/>
      <c r="AL158" s="5">
        <f t="shared" si="231"/>
        <v>-0.11952850547843777</v>
      </c>
      <c r="AM158" s="5"/>
      <c r="AN158" s="5">
        <f t="shared" si="232"/>
        <v>-0.12006117011460929</v>
      </c>
      <c r="AO158" s="5"/>
      <c r="AP158" s="5">
        <f t="shared" si="233"/>
        <v>-0.12056445059852461</v>
      </c>
      <c r="AQ158" s="5"/>
      <c r="AR158" s="5">
        <f t="shared" si="234"/>
        <v>-0.12099649663110072</v>
      </c>
      <c r="AS158" s="5"/>
      <c r="AT158" s="5">
        <f t="shared" si="215"/>
        <v>0.17116156906237431</v>
      </c>
      <c r="AU158" s="5"/>
      <c r="AV158" s="5">
        <f t="shared" si="235"/>
        <v>-0.12176329170746868</v>
      </c>
      <c r="AW158" s="5"/>
      <c r="AX158" s="5">
        <f t="shared" si="236"/>
        <v>-0.12212846110221696</v>
      </c>
      <c r="AY158" s="5"/>
      <c r="AZ158" s="5">
        <f t="shared" si="237"/>
        <v>-0.12237587215837212</v>
      </c>
      <c r="BA158" s="5"/>
      <c r="BB158" s="5">
        <f t="shared" si="238"/>
        <v>-0.12268490281944155</v>
      </c>
      <c r="BC158" s="5"/>
      <c r="BD158" s="5">
        <f t="shared" si="220"/>
        <v>0.17410990713526706</v>
      </c>
      <c r="BE158" s="5"/>
      <c r="BF158" s="5">
        <f t="shared" si="221"/>
        <v>0.17458265322302838</v>
      </c>
      <c r="BG158" s="5"/>
      <c r="BH158" s="5">
        <f t="shared" si="222"/>
        <v>0.17520416785773216</v>
      </c>
    </row>
    <row r="159" spans="2:60" x14ac:dyDescent="0.3">
      <c r="B159" s="34"/>
      <c r="C159" s="35" t="s">
        <v>37</v>
      </c>
      <c r="D159" s="36">
        <f t="shared" si="225"/>
        <v>-3.2000000000000006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>
        <f t="shared" si="230"/>
        <v>-0.11893685443460239</v>
      </c>
      <c r="AK159" s="5"/>
      <c r="AL159" s="5">
        <f t="shared" si="231"/>
        <v>-0.11953139321795359</v>
      </c>
      <c r="AM159" s="5"/>
      <c r="AN159" s="5">
        <f t="shared" si="232"/>
        <v>-0.12007966954305488</v>
      </c>
      <c r="AO159" s="5"/>
      <c r="AP159" s="5">
        <f t="shared" si="233"/>
        <v>-0.12057814285194592</v>
      </c>
      <c r="AQ159" s="5"/>
      <c r="AR159" s="5">
        <f t="shared" si="234"/>
        <v>-0.12104656933196148</v>
      </c>
      <c r="AS159" s="5"/>
      <c r="AT159" s="5">
        <f t="shared" si="215"/>
        <v>0.17112359782735079</v>
      </c>
      <c r="AU159" s="5"/>
      <c r="AV159" s="5">
        <f t="shared" si="235"/>
        <v>-0.12186708028788339</v>
      </c>
      <c r="AW159" s="5"/>
      <c r="AX159" s="5">
        <f t="shared" si="236"/>
        <v>-0.12220892723410619</v>
      </c>
      <c r="AY159" s="5"/>
      <c r="AZ159" s="5">
        <f t="shared" si="237"/>
        <v>-0.12255866500162689</v>
      </c>
      <c r="BA159" s="5"/>
      <c r="BB159" s="5">
        <f t="shared" si="238"/>
        <v>-0.12282939393480923</v>
      </c>
      <c r="BC159" s="5"/>
      <c r="BD159" s="5">
        <f t="shared" si="220"/>
        <v>0.17382162623844136</v>
      </c>
      <c r="BE159" s="5"/>
      <c r="BF159" s="5">
        <f t="shared" si="221"/>
        <v>0.17435084784558291</v>
      </c>
      <c r="BG159" s="5"/>
      <c r="BH159" s="5">
        <f t="shared" si="222"/>
        <v>0.17478418685714533</v>
      </c>
    </row>
    <row r="160" spans="2:60" x14ac:dyDescent="0.3">
      <c r="B160" s="34"/>
      <c r="C160" s="35" t="s">
        <v>37</v>
      </c>
      <c r="D160" s="36">
        <f t="shared" si="225"/>
        <v>-3.4000000000000008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>
        <f t="shared" si="231"/>
        <v>-0.11953339242223379</v>
      </c>
      <c r="AM160" s="5"/>
      <c r="AN160" s="5">
        <f t="shared" si="232"/>
        <v>-0.12008112004106328</v>
      </c>
      <c r="AO160" s="5"/>
      <c r="AP160" s="5">
        <f t="shared" si="233"/>
        <v>-0.12058793583843548</v>
      </c>
      <c r="AQ160" s="5"/>
      <c r="AR160" s="5">
        <f t="shared" si="234"/>
        <v>-0.12105380774216115</v>
      </c>
      <c r="AS160" s="5"/>
      <c r="AT160" s="5">
        <f t="shared" si="215"/>
        <v>0.17109587718884914</v>
      </c>
      <c r="AU160" s="5"/>
      <c r="AV160" s="5">
        <f t="shared" si="235"/>
        <v>-0.12188804415955976</v>
      </c>
      <c r="AW160" s="5"/>
      <c r="AX160" s="5">
        <f t="shared" si="236"/>
        <v>-0.12226864477363085</v>
      </c>
      <c r="AY160" s="5"/>
      <c r="AZ160" s="5">
        <f t="shared" si="237"/>
        <v>-0.12260479422600379</v>
      </c>
      <c r="BA160" s="5"/>
      <c r="BB160" s="5">
        <f t="shared" si="238"/>
        <v>-0.12293816430117967</v>
      </c>
      <c r="BC160" s="5"/>
      <c r="BD160" s="5">
        <f t="shared" si="220"/>
        <v>0.1737360131651913</v>
      </c>
      <c r="BE160" s="5"/>
      <c r="BF160" s="5">
        <f t="shared" si="221"/>
        <v>0.17417414379051388</v>
      </c>
      <c r="BG160" s="5"/>
      <c r="BH160" s="5">
        <f t="shared" si="222"/>
        <v>0.17464276511804602</v>
      </c>
    </row>
    <row r="161" spans="2:60" x14ac:dyDescent="0.3">
      <c r="B161" s="34"/>
      <c r="C161" s="35" t="s">
        <v>37</v>
      </c>
      <c r="D161" s="36">
        <f t="shared" si="225"/>
        <v>-3.600000000000001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>
        <f t="shared" si="232"/>
        <v>-0.12008212423199216</v>
      </c>
      <c r="AO161" s="5"/>
      <c r="AP161" s="5">
        <f t="shared" si="233"/>
        <v>-0.12058866414978768</v>
      </c>
      <c r="AQ161" s="5"/>
      <c r="AR161" s="5">
        <f t="shared" si="234"/>
        <v>-0.12105897642823225</v>
      </c>
      <c r="AS161" s="5"/>
      <c r="AT161" s="5">
        <f t="shared" si="215"/>
        <v>0.17109206143816147</v>
      </c>
      <c r="AU161" s="5"/>
      <c r="AV161" s="5">
        <f t="shared" si="235"/>
        <v>-0.12190331609795642</v>
      </c>
      <c r="AW161" s="5"/>
      <c r="AX161" s="5">
        <f t="shared" si="236"/>
        <v>-0.12228016600904741</v>
      </c>
      <c r="AY161" s="5"/>
      <c r="AZ161" s="5">
        <f t="shared" si="237"/>
        <v>-0.12263894161165256</v>
      </c>
      <c r="BA161" s="5"/>
      <c r="BB161" s="5">
        <f t="shared" si="238"/>
        <v>-0.12296445417819099</v>
      </c>
      <c r="BC161" s="5"/>
      <c r="BD161" s="5">
        <f t="shared" si="220"/>
        <v>0.17367175327763976</v>
      </c>
      <c r="BE161" s="5"/>
      <c r="BF161" s="5">
        <f t="shared" si="221"/>
        <v>0.1741237623543623</v>
      </c>
      <c r="BG161" s="5"/>
      <c r="BH161" s="5">
        <f t="shared" si="222"/>
        <v>0.17453530699193784</v>
      </c>
    </row>
    <row r="162" spans="2:60" x14ac:dyDescent="0.3">
      <c r="B162" s="34"/>
      <c r="C162" s="35" t="s">
        <v>37</v>
      </c>
      <c r="D162" s="36">
        <f t="shared" si="225"/>
        <v>-3.8000000000000012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>
        <f t="shared" si="233"/>
        <v>-0.1205891683653392</v>
      </c>
      <c r="AQ162" s="5"/>
      <c r="AR162" s="5">
        <f t="shared" si="234"/>
        <v>-0.12105934200450497</v>
      </c>
      <c r="AS162" s="5"/>
      <c r="AT162" s="5">
        <f t="shared" si="215"/>
        <v>0.17108934074018595</v>
      </c>
      <c r="AU162" s="5"/>
      <c r="AV162" s="5">
        <f t="shared" si="235"/>
        <v>-0.1219053224336423</v>
      </c>
      <c r="AW162" s="5"/>
      <c r="AX162" s="5">
        <f t="shared" si="236"/>
        <v>-0.12228854257144268</v>
      </c>
      <c r="AY162" s="5"/>
      <c r="AZ162" s="5">
        <f t="shared" si="237"/>
        <v>-0.12264524699908218</v>
      </c>
      <c r="BA162" s="5"/>
      <c r="BB162" s="5">
        <f t="shared" si="238"/>
        <v>-0.12298386946092298</v>
      </c>
      <c r="BC162" s="5"/>
      <c r="BD162" s="5">
        <f t="shared" si="220"/>
        <v>0.17365685076842635</v>
      </c>
      <c r="BE162" s="5"/>
      <c r="BF162" s="5">
        <f t="shared" si="221"/>
        <v>0.17408604911832248</v>
      </c>
      <c r="BG162" s="5"/>
      <c r="BH162" s="5">
        <f t="shared" si="222"/>
        <v>0.17450584503092123</v>
      </c>
    </row>
    <row r="163" spans="2:60" x14ac:dyDescent="0.3">
      <c r="B163" s="34"/>
      <c r="C163" s="35" t="s">
        <v>37</v>
      </c>
      <c r="D163" s="36">
        <f t="shared" si="225"/>
        <v>-4.0000000000000009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>
        <f t="shared" si="234"/>
        <v>-0.1210595950957707</v>
      </c>
      <c r="AS163" s="5"/>
      <c r="AT163" s="5">
        <f t="shared" si="215"/>
        <v>0.17108915729063365</v>
      </c>
      <c r="AU163" s="5"/>
      <c r="AV163" s="5">
        <f t="shared" si="235"/>
        <v>-0.12190675108057743</v>
      </c>
      <c r="AW163" s="5"/>
      <c r="AX163" s="5">
        <f t="shared" si="236"/>
        <v>-0.12228959505685769</v>
      </c>
      <c r="AY163" s="5"/>
      <c r="AZ163" s="5">
        <f t="shared" si="237"/>
        <v>-0.12264982299021929</v>
      </c>
      <c r="BA163" s="5"/>
      <c r="BB163" s="5">
        <f t="shared" si="238"/>
        <v>-0.12298730711518444</v>
      </c>
      <c r="BC163" s="5"/>
      <c r="BD163" s="5">
        <f t="shared" si="220"/>
        <v>0.17364586929374831</v>
      </c>
      <c r="BE163" s="5"/>
      <c r="BF163" s="5">
        <f t="shared" si="221"/>
        <v>0.17407764343338122</v>
      </c>
      <c r="BG163" s="5"/>
      <c r="BH163" s="5">
        <f t="shared" si="222"/>
        <v>0.17448384665336836</v>
      </c>
    </row>
    <row r="164" spans="2:60" x14ac:dyDescent="0.3">
      <c r="B164" s="34"/>
      <c r="C164" s="35" t="s">
        <v>37</v>
      </c>
      <c r="D164" s="36">
        <f t="shared" si="225"/>
        <v>-4.2000000000000011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>
        <f t="shared" si="215"/>
        <v>0.17108903028709746</v>
      </c>
      <c r="AU164" s="5"/>
      <c r="AV164" s="5">
        <f t="shared" si="235"/>
        <v>-0.1219068431143245</v>
      </c>
      <c r="AW164" s="5"/>
      <c r="AX164" s="5">
        <f t="shared" si="236"/>
        <v>-0.1222903435856211</v>
      </c>
      <c r="AY164" s="5"/>
      <c r="AZ164" s="5">
        <f t="shared" si="237"/>
        <v>-0.12265037393257194</v>
      </c>
      <c r="BA164" s="5"/>
      <c r="BB164" s="5">
        <f t="shared" si="238"/>
        <v>-0.12298979768248335</v>
      </c>
      <c r="BC164" s="5"/>
      <c r="BD164" s="5">
        <f t="shared" si="220"/>
        <v>0.1736440016911425</v>
      </c>
      <c r="BE164" s="5"/>
      <c r="BF164" s="5">
        <f t="shared" si="221"/>
        <v>0.17407146205954363</v>
      </c>
      <c r="BG164" s="5"/>
      <c r="BH164" s="5">
        <f t="shared" si="222"/>
        <v>0.17447912718387615</v>
      </c>
    </row>
    <row r="165" spans="2:60" x14ac:dyDescent="0.3">
      <c r="B165" s="34"/>
      <c r="C165" s="35" t="s">
        <v>37</v>
      </c>
      <c r="D165" s="36">
        <f t="shared" si="225"/>
        <v>-4.4000000000000012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>
        <f t="shared" si="235"/>
        <v>-0.12190690682999554</v>
      </c>
      <c r="AW165" s="5"/>
      <c r="AX165" s="5">
        <f t="shared" si="236"/>
        <v>-0.12229038974726211</v>
      </c>
      <c r="AY165" s="5"/>
      <c r="AZ165" s="5">
        <f t="shared" si="237"/>
        <v>-0.12265076532600797</v>
      </c>
      <c r="BA165" s="5"/>
      <c r="BB165" s="5">
        <f t="shared" si="238"/>
        <v>-0.12299008552263864</v>
      </c>
      <c r="BC165" s="5"/>
      <c r="BD165" s="5">
        <f t="shared" si="220"/>
        <v>0.17364265075850602</v>
      </c>
      <c r="BE165" s="5"/>
      <c r="BF165" s="5">
        <f t="shared" si="221"/>
        <v>0.17407045071944788</v>
      </c>
      <c r="BG165" s="5"/>
      <c r="BH165" s="5">
        <f t="shared" si="222"/>
        <v>0.174475663217524</v>
      </c>
    </row>
    <row r="166" spans="2:60" x14ac:dyDescent="0.3">
      <c r="B166" s="34"/>
      <c r="C166" s="35" t="s">
        <v>37</v>
      </c>
      <c r="D166" s="36">
        <f t="shared" si="225"/>
        <v>-4.6000000000000014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>
        <f t="shared" si="236"/>
        <v>-0.12229042170532127</v>
      </c>
      <c r="AY166" s="5"/>
      <c r="AZ166" s="5">
        <f t="shared" si="237"/>
        <v>-0.12265078847484634</v>
      </c>
      <c r="BA166" s="5"/>
      <c r="BB166" s="5">
        <f t="shared" si="238"/>
        <v>-0.12299028979629721</v>
      </c>
      <c r="BC166" s="5"/>
      <c r="BD166" s="5">
        <f t="shared" si="220"/>
        <v>0.17364250064493386</v>
      </c>
      <c r="BE166" s="5"/>
      <c r="BF166" s="5">
        <f t="shared" si="221"/>
        <v>0.17406972024484166</v>
      </c>
      <c r="BG166" s="5"/>
      <c r="BH166" s="5">
        <f t="shared" si="222"/>
        <v>0.17447511720092626</v>
      </c>
    </row>
    <row r="167" spans="2:60" x14ac:dyDescent="0.3">
      <c r="B167" s="34"/>
      <c r="C167" s="35" t="s">
        <v>37</v>
      </c>
      <c r="D167" s="36">
        <f t="shared" si="225"/>
        <v>-4.8000000000000016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>
        <f t="shared" si="237"/>
        <v>-0.12265080450096519</v>
      </c>
      <c r="BA167" s="5"/>
      <c r="BB167" s="5">
        <f t="shared" si="238"/>
        <v>-0.12299030140275509</v>
      </c>
      <c r="BC167" s="5"/>
      <c r="BD167" s="5">
        <f t="shared" si="220"/>
        <v>0.17364239421378458</v>
      </c>
      <c r="BE167" s="5"/>
      <c r="BF167" s="5">
        <f t="shared" si="221"/>
        <v>0.17406964208706485</v>
      </c>
      <c r="BG167" s="5"/>
      <c r="BH167" s="5">
        <f t="shared" si="222"/>
        <v>0.17447472336652736</v>
      </c>
    </row>
    <row r="168" spans="2:60" x14ac:dyDescent="0.3">
      <c r="B168" s="34"/>
      <c r="C168" s="35" t="s">
        <v>37</v>
      </c>
      <c r="D168" s="36">
        <f t="shared" si="225"/>
        <v>-5.0000000000000018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>
        <f t="shared" si="238"/>
        <v>-0.12299030943799516</v>
      </c>
      <c r="BC168" s="5"/>
      <c r="BD168" s="5">
        <f t="shared" ref="BD168:BD169" si="239">$E$95*$E$96*$E$97*$E$88*VLOOKUP(BC$2,$BN$89:$BQ$116,2,0)*($E$98+BD69)</f>
        <v>0.17364238839542906</v>
      </c>
      <c r="BE168" s="5"/>
      <c r="BF168" s="5">
        <f t="shared" ref="BF168:BF170" si="240">$E$95*$E$96*$E$97*$E$88*VLOOKUP(BE$2,$BN$89:$BQ$116,2,0)*($E$98+BF69)</f>
        <v>0.17406958672156736</v>
      </c>
      <c r="BG168" s="5"/>
      <c r="BH168" s="5">
        <f t="shared" ref="BH168:BH171" si="241">$E$95*$E$96*$E$97*$E$88*VLOOKUP(BG$2,$BN$89:$BQ$116,2,0)*($E$98+BH69)</f>
        <v>0.17447468273513944</v>
      </c>
    </row>
    <row r="169" spans="2:60" x14ac:dyDescent="0.3">
      <c r="B169" s="34"/>
      <c r="C169" s="35" t="s">
        <v>37</v>
      </c>
      <c r="D169" s="36">
        <f t="shared" si="225"/>
        <v>-5.200000000000002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>
        <f t="shared" si="239"/>
        <v>0.17364238436733678</v>
      </c>
      <c r="BE169" s="5"/>
      <c r="BF169" s="5">
        <f t="shared" si="240"/>
        <v>0.17406958380523241</v>
      </c>
      <c r="BG169" s="5"/>
      <c r="BH169" s="5">
        <f t="shared" si="241"/>
        <v>0.17447465397612169</v>
      </c>
    </row>
    <row r="170" spans="2:60" x14ac:dyDescent="0.3">
      <c r="B170" s="34"/>
      <c r="C170" s="35" t="s">
        <v>37</v>
      </c>
      <c r="D170" s="36">
        <f t="shared" si="225"/>
        <v>-5.4000000000000021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>
        <f t="shared" si="240"/>
        <v>0.1740695817862313</v>
      </c>
      <c r="BG170" s="5"/>
      <c r="BH170" s="5">
        <f t="shared" si="241"/>
        <v>0.17447465251456096</v>
      </c>
    </row>
    <row r="171" spans="2:60" x14ac:dyDescent="0.3">
      <c r="B171" s="34"/>
      <c r="C171" s="35" t="s">
        <v>37</v>
      </c>
      <c r="D171" s="36">
        <f t="shared" si="225"/>
        <v>-5.6000000000000023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>
        <f t="shared" si="241"/>
        <v>0.17447465150271124</v>
      </c>
    </row>
    <row r="172" spans="2:60" x14ac:dyDescent="0.3">
      <c r="B172" s="34"/>
      <c r="C172" s="35" t="s">
        <v>37</v>
      </c>
      <c r="D172" s="36">
        <f t="shared" si="225"/>
        <v>-5.8000000000000025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</row>
    <row r="173" spans="2:60" x14ac:dyDescent="0.3">
      <c r="B173" s="34"/>
      <c r="C173" s="35" t="s">
        <v>37</v>
      </c>
      <c r="D173" s="36">
        <f t="shared" si="225"/>
        <v>-6.0000000000000027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</row>
    <row r="174" spans="2:60" x14ac:dyDescent="0.3">
      <c r="B174" s="34"/>
      <c r="C174" s="35" t="s">
        <v>37</v>
      </c>
      <c r="D174" s="36">
        <f t="shared" si="225"/>
        <v>-6.2000000000000028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</row>
    <row r="175" spans="2:60" x14ac:dyDescent="0.3">
      <c r="B175" s="34"/>
      <c r="C175" s="35" t="s">
        <v>37</v>
      </c>
      <c r="D175" s="36">
        <f t="shared" si="225"/>
        <v>-6.400000000000003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</row>
    <row r="176" spans="2:60" x14ac:dyDescent="0.3">
      <c r="B176" s="34"/>
      <c r="C176" s="35" t="s">
        <v>37</v>
      </c>
      <c r="D176" s="36">
        <f t="shared" si="225"/>
        <v>-6.6000000000000032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</row>
    <row r="177" spans="2:60" x14ac:dyDescent="0.3">
      <c r="B177" s="34"/>
      <c r="C177" s="35" t="s">
        <v>37</v>
      </c>
      <c r="D177" s="36">
        <f t="shared" si="225"/>
        <v>-6.8000000000000034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</row>
    <row r="178" spans="2:60" x14ac:dyDescent="0.3">
      <c r="B178" s="34"/>
      <c r="C178" s="35" t="s">
        <v>37</v>
      </c>
      <c r="D178" s="36">
        <f t="shared" si="225"/>
        <v>-7.0000000000000036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</row>
    <row r="179" spans="2:60" x14ac:dyDescent="0.3">
      <c r="B179" s="34"/>
      <c r="C179" s="35" t="s">
        <v>37</v>
      </c>
      <c r="D179" s="36">
        <f t="shared" si="225"/>
        <v>-7.2000000000000037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</row>
    <row r="180" spans="2:60" x14ac:dyDescent="0.3">
      <c r="B180" s="34"/>
      <c r="C180" s="35" t="s">
        <v>37</v>
      </c>
      <c r="D180" s="36">
        <f t="shared" si="225"/>
        <v>-7.4000000000000039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</row>
    <row r="181" spans="2:60" x14ac:dyDescent="0.3">
      <c r="B181" s="34"/>
      <c r="C181" s="35" t="s">
        <v>37</v>
      </c>
      <c r="D181" s="36">
        <f t="shared" si="225"/>
        <v>-7.6000000000000041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</row>
    <row r="182" spans="2:60" x14ac:dyDescent="0.3">
      <c r="B182" s="34"/>
      <c r="C182" s="35" t="s">
        <v>37</v>
      </c>
      <c r="D182" s="36">
        <f t="shared" si="225"/>
        <v>-7.8000000000000043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</row>
    <row r="183" spans="2:60" x14ac:dyDescent="0.3">
      <c r="B183" s="34"/>
      <c r="C183" s="35" t="s">
        <v>37</v>
      </c>
      <c r="D183" s="36">
        <f t="shared" si="225"/>
        <v>-8.0000000000000036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</row>
    <row r="185" spans="2:60" x14ac:dyDescent="0.3">
      <c r="C185" s="43" t="s">
        <v>59</v>
      </c>
      <c r="D185">
        <v>1</v>
      </c>
      <c r="E185">
        <v>2</v>
      </c>
      <c r="F185">
        <v>3</v>
      </c>
      <c r="G185">
        <v>4</v>
      </c>
      <c r="H185">
        <v>5</v>
      </c>
      <c r="I185">
        <v>6</v>
      </c>
      <c r="J185">
        <v>7</v>
      </c>
      <c r="K185">
        <v>8</v>
      </c>
      <c r="L185">
        <v>9</v>
      </c>
      <c r="M185">
        <v>10</v>
      </c>
      <c r="N185">
        <v>11</v>
      </c>
      <c r="O185">
        <v>12</v>
      </c>
      <c r="P185">
        <v>13</v>
      </c>
      <c r="Q185">
        <v>14</v>
      </c>
      <c r="R185">
        <v>15</v>
      </c>
      <c r="S185">
        <v>16</v>
      </c>
      <c r="T185">
        <v>17</v>
      </c>
      <c r="U185">
        <v>18</v>
      </c>
      <c r="V185">
        <v>19</v>
      </c>
      <c r="W185">
        <v>20</v>
      </c>
      <c r="X185">
        <v>21</v>
      </c>
      <c r="Y185">
        <v>22</v>
      </c>
      <c r="Z185">
        <v>23</v>
      </c>
      <c r="AA185">
        <v>24</v>
      </c>
      <c r="AB185">
        <v>25</v>
      </c>
      <c r="AC185">
        <v>26</v>
      </c>
      <c r="AD185">
        <v>27</v>
      </c>
      <c r="AE185">
        <v>28</v>
      </c>
    </row>
    <row r="186" spans="2:60" x14ac:dyDescent="0.3">
      <c r="C186" s="56" t="s">
        <v>60</v>
      </c>
      <c r="D186">
        <f>MAX(F104:F143)</f>
        <v>8.5771817719368051E-2</v>
      </c>
      <c r="E186">
        <f>MAX(H104:H143)</f>
        <v>0.35786268734318655</v>
      </c>
      <c r="F186">
        <f>MAX(J104:J143)</f>
        <v>0.44155795665956793</v>
      </c>
      <c r="G186">
        <f>MAX(L104:L143)</f>
        <v>0.48220467879862777</v>
      </c>
      <c r="H186">
        <f>MAX(N104:N143)</f>
        <v>0.52241551125612096</v>
      </c>
      <c r="I186">
        <f>MAX(P104:P143)</f>
        <v>0.55968834864019967</v>
      </c>
      <c r="J186">
        <f>MAX(R104:R143)</f>
        <v>0.59243618785423291</v>
      </c>
      <c r="K186">
        <f>MAX(T104:T143)</f>
        <v>0.61302025025826601</v>
      </c>
      <c r="L186">
        <f>MAX(V104:V143)</f>
        <v>0.6350830709071883</v>
      </c>
      <c r="M186">
        <f>MAX(X104:X143)</f>
        <v>0.65349122586830932</v>
      </c>
      <c r="N186">
        <f>MAX(Z104:Z143)</f>
        <v>0.66556643143122407</v>
      </c>
      <c r="O186">
        <f>MAX(AB104:AB143)</f>
        <v>0.68119748921373913</v>
      </c>
      <c r="P186">
        <f>MAX(AD104:AD143)</f>
        <v>0.69918771376631095</v>
      </c>
      <c r="Q186">
        <f>MAX(AF104:AF143)</f>
        <v>0.72397761821340534</v>
      </c>
      <c r="R186">
        <f>MAX(AH104:AH143)</f>
        <v>0.7427942441944575</v>
      </c>
      <c r="S186">
        <f>MAX(AJ104:AJ143)</f>
        <v>0.7555784707708797</v>
      </c>
      <c r="T186">
        <f>MAX(AL104:AL143)</f>
        <v>0.76519124387284898</v>
      </c>
      <c r="U186">
        <f>MAX(AN104:AN143)</f>
        <v>0.77747869666688041</v>
      </c>
      <c r="V186">
        <f>MAX(AP104:AP143)</f>
        <v>0.78369885187380361</v>
      </c>
      <c r="W186">
        <f>MAX(AR104:AR143)</f>
        <v>0.78970458946194511</v>
      </c>
      <c r="X186">
        <f>MAX(AT104:AT143)</f>
        <v>0.80144000304835106</v>
      </c>
      <c r="Y186">
        <f>MAX(AV104:AV143)</f>
        <v>0.80859233749328163</v>
      </c>
      <c r="Z186">
        <f>MAX(AX104:AX143)</f>
        <v>0.81560257071470355</v>
      </c>
      <c r="AA186">
        <f>MAX(AZ104:AZ143)</f>
        <v>0.82098961169309859</v>
      </c>
      <c r="AB186">
        <f>MAX(BB104:BB143)</f>
        <v>0.82625301255409933</v>
      </c>
      <c r="AC186">
        <f>MAX(BD104:BD143)</f>
        <v>0.83140131027810293</v>
      </c>
      <c r="AD186" s="57">
        <f>MAX(BF104:BF143)</f>
        <v>0.83494111011022276</v>
      </c>
      <c r="AE186" s="58">
        <f>MAX(BH104:BH143)</f>
        <v>0.83837612739673484</v>
      </c>
    </row>
  </sheetData>
  <mergeCells count="94">
    <mergeCell ref="BP112:BQ112"/>
    <mergeCell ref="BP113:BQ113"/>
    <mergeCell ref="BP114:BQ114"/>
    <mergeCell ref="BP115:BQ115"/>
    <mergeCell ref="BP116:BQ116"/>
    <mergeCell ref="B144:B183"/>
    <mergeCell ref="B104:B143"/>
    <mergeCell ref="C104:C143"/>
    <mergeCell ref="BP104:BQ104"/>
    <mergeCell ref="BP105:BQ105"/>
    <mergeCell ref="BP106:BQ106"/>
    <mergeCell ref="BP107:BQ107"/>
    <mergeCell ref="BP108:BQ108"/>
    <mergeCell ref="BP109:BQ109"/>
    <mergeCell ref="BP110:BQ110"/>
    <mergeCell ref="BP111:BQ111"/>
    <mergeCell ref="BA101:BB101"/>
    <mergeCell ref="BC101:BD101"/>
    <mergeCell ref="BE101:BF101"/>
    <mergeCell ref="BG101:BH101"/>
    <mergeCell ref="BP101:BQ101"/>
    <mergeCell ref="D102:D103"/>
    <mergeCell ref="BP102:BQ102"/>
    <mergeCell ref="BP103:BQ103"/>
    <mergeCell ref="AM101:AN101"/>
    <mergeCell ref="AO101:AP101"/>
    <mergeCell ref="AQ101:AR101"/>
    <mergeCell ref="AS101:AT101"/>
    <mergeCell ref="AW101:AX101"/>
    <mergeCell ref="AY101:AZ101"/>
    <mergeCell ref="AA101:AB101"/>
    <mergeCell ref="AC101:AD101"/>
    <mergeCell ref="AE101:AF101"/>
    <mergeCell ref="AG101:AH101"/>
    <mergeCell ref="AI101:AJ101"/>
    <mergeCell ref="AK101:AL101"/>
    <mergeCell ref="O101:P101"/>
    <mergeCell ref="Q101:R101"/>
    <mergeCell ref="S101:T101"/>
    <mergeCell ref="U101:V101"/>
    <mergeCell ref="W101:X101"/>
    <mergeCell ref="Y101:Z101"/>
    <mergeCell ref="BP97:BQ97"/>
    <mergeCell ref="BP98:BQ98"/>
    <mergeCell ref="BP99:BQ99"/>
    <mergeCell ref="BP100:BQ100"/>
    <mergeCell ref="B101:B103"/>
    <mergeCell ref="C101:C103"/>
    <mergeCell ref="G101:H101"/>
    <mergeCell ref="I101:J101"/>
    <mergeCell ref="K101:L101"/>
    <mergeCell ref="M101:N101"/>
    <mergeCell ref="BP91:BQ91"/>
    <mergeCell ref="BP92:BQ92"/>
    <mergeCell ref="BP93:BQ93"/>
    <mergeCell ref="BP94:BQ94"/>
    <mergeCell ref="BP95:BQ95"/>
    <mergeCell ref="BP96:BQ96"/>
    <mergeCell ref="B5:B44"/>
    <mergeCell ref="C5:C44"/>
    <mergeCell ref="B45:B84"/>
    <mergeCell ref="BP88:BQ88"/>
    <mergeCell ref="BP89:BQ89"/>
    <mergeCell ref="BP90:BQ90"/>
    <mergeCell ref="AY2:AZ2"/>
    <mergeCell ref="BA2:BB2"/>
    <mergeCell ref="BC2:BD2"/>
    <mergeCell ref="BE2:BF2"/>
    <mergeCell ref="BG2:BH2"/>
    <mergeCell ref="D3:D4"/>
    <mergeCell ref="AM2:AN2"/>
    <mergeCell ref="AO2:AP2"/>
    <mergeCell ref="AQ2:AR2"/>
    <mergeCell ref="AS2:AT2"/>
    <mergeCell ref="AU2:AV2"/>
    <mergeCell ref="AW2:AX2"/>
    <mergeCell ref="AA2:AB2"/>
    <mergeCell ref="AC2:AD2"/>
    <mergeCell ref="AE2:AF2"/>
    <mergeCell ref="AG2:AH2"/>
    <mergeCell ref="AI2:AJ2"/>
    <mergeCell ref="AK2:AL2"/>
    <mergeCell ref="O2:P2"/>
    <mergeCell ref="Q2:R2"/>
    <mergeCell ref="S2:T2"/>
    <mergeCell ref="U2:V2"/>
    <mergeCell ref="W2:X2"/>
    <mergeCell ref="Y2:Z2"/>
    <mergeCell ref="B2:B4"/>
    <mergeCell ref="C2:C4"/>
    <mergeCell ref="G2:H2"/>
    <mergeCell ref="I2:J2"/>
    <mergeCell ref="K2:L2"/>
    <mergeCell ref="M2:N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5EA8-67D9-4F66-A028-347C53CD870D}">
  <dimension ref="B1:BR186"/>
  <sheetViews>
    <sheetView topLeftCell="A144" workbookViewId="0">
      <selection activeCell="K211" sqref="K211"/>
    </sheetView>
  </sheetViews>
  <sheetFormatPr defaultRowHeight="14.4" x14ac:dyDescent="0.3"/>
  <cols>
    <col min="2" max="2" width="14.33203125" bestFit="1" customWidth="1"/>
    <col min="4" max="4" width="12.33203125" bestFit="1" customWidth="1"/>
    <col min="5" max="5" width="11.33203125" bestFit="1" customWidth="1"/>
    <col min="6" max="6" width="11.44140625" bestFit="1" customWidth="1"/>
    <col min="7" max="7" width="16.6640625" customWidth="1"/>
    <col min="8" max="8" width="11.44140625" bestFit="1" customWidth="1"/>
    <col min="9" max="9" width="16.6640625" bestFit="1" customWidth="1"/>
    <col min="10" max="10" width="16.88671875" bestFit="1" customWidth="1"/>
    <col min="12" max="12" width="17.44140625" bestFit="1" customWidth="1"/>
    <col min="14" max="14" width="16.88671875" bestFit="1" customWidth="1"/>
    <col min="16" max="16" width="16.88671875" bestFit="1" customWidth="1"/>
    <col min="18" max="18" width="16.88671875" bestFit="1" customWidth="1"/>
    <col min="20" max="20" width="16.88671875" bestFit="1" customWidth="1"/>
    <col min="22" max="22" width="16.88671875" bestFit="1" customWidth="1"/>
    <col min="23" max="23" width="7.109375" bestFit="1" customWidth="1"/>
    <col min="24" max="24" width="16.88671875" bestFit="1" customWidth="1"/>
    <col min="25" max="25" width="7.109375" bestFit="1" customWidth="1"/>
    <col min="26" max="26" width="16.88671875" bestFit="1" customWidth="1"/>
    <col min="27" max="27" width="7.109375" bestFit="1" customWidth="1"/>
    <col min="28" max="28" width="16.88671875" customWidth="1"/>
    <col min="29" max="29" width="7.109375" bestFit="1" customWidth="1"/>
    <col min="30" max="30" width="16.88671875" customWidth="1"/>
    <col min="31" max="31" width="7.109375" bestFit="1" customWidth="1"/>
    <col min="32" max="32" width="16.88671875" bestFit="1" customWidth="1"/>
    <col min="33" max="33" width="7.109375" bestFit="1" customWidth="1"/>
    <col min="34" max="34" width="16.88671875" bestFit="1" customWidth="1"/>
    <col min="36" max="36" width="16.88671875" bestFit="1" customWidth="1"/>
    <col min="38" max="38" width="16.88671875" bestFit="1" customWidth="1"/>
    <col min="39" max="39" width="7.109375" bestFit="1" customWidth="1"/>
    <col min="40" max="40" width="16.88671875" bestFit="1" customWidth="1"/>
    <col min="42" max="42" width="16.88671875" bestFit="1" customWidth="1"/>
    <col min="44" max="44" width="16.88671875" bestFit="1" customWidth="1"/>
    <col min="45" max="45" width="6.88671875" bestFit="1" customWidth="1"/>
    <col min="46" max="46" width="16.88671875" bestFit="1" customWidth="1"/>
    <col min="48" max="48" width="16.88671875" bestFit="1" customWidth="1"/>
    <col min="50" max="50" width="16.88671875" bestFit="1" customWidth="1"/>
    <col min="52" max="52" width="16.88671875" bestFit="1" customWidth="1"/>
    <col min="54" max="54" width="16.88671875" bestFit="1" customWidth="1"/>
    <col min="56" max="56" width="16.88671875" bestFit="1" customWidth="1"/>
    <col min="58" max="58" width="16.88671875" bestFit="1" customWidth="1"/>
    <col min="60" max="60" width="16.88671875" bestFit="1" customWidth="1"/>
  </cols>
  <sheetData>
    <row r="1" spans="2:61" x14ac:dyDescent="0.3">
      <c r="B1" t="s">
        <v>29</v>
      </c>
    </row>
    <row r="2" spans="2:61" x14ac:dyDescent="0.3">
      <c r="B2" s="18" t="s">
        <v>30</v>
      </c>
      <c r="C2" s="18" t="s">
        <v>61</v>
      </c>
      <c r="D2" s="18" t="s">
        <v>31</v>
      </c>
      <c r="E2" s="19" t="s">
        <v>25</v>
      </c>
      <c r="F2" s="20">
        <v>0</v>
      </c>
      <c r="G2" s="20">
        <v>1</v>
      </c>
      <c r="H2" s="21">
        <v>2</v>
      </c>
      <c r="I2" s="21"/>
      <c r="J2" s="21">
        <v>3</v>
      </c>
      <c r="K2" s="21"/>
      <c r="L2" s="21">
        <v>4</v>
      </c>
      <c r="M2" s="21"/>
      <c r="N2" s="21">
        <v>5</v>
      </c>
      <c r="O2" s="21"/>
      <c r="P2" s="21">
        <v>6</v>
      </c>
      <c r="Q2" s="21"/>
      <c r="R2" s="21">
        <v>7</v>
      </c>
      <c r="S2" s="21"/>
      <c r="T2" s="21">
        <v>8</v>
      </c>
      <c r="U2" s="21"/>
      <c r="V2" s="21">
        <v>9</v>
      </c>
      <c r="W2" s="21"/>
      <c r="X2" s="21">
        <v>10</v>
      </c>
      <c r="Y2" s="21"/>
      <c r="Z2" s="21">
        <v>11</v>
      </c>
      <c r="AA2" s="21"/>
      <c r="AB2" s="21">
        <v>12</v>
      </c>
      <c r="AC2" s="21"/>
      <c r="AD2" s="21">
        <v>13</v>
      </c>
      <c r="AE2" s="21"/>
      <c r="AF2" s="21">
        <v>14</v>
      </c>
      <c r="AG2" s="21"/>
      <c r="AH2" s="21">
        <v>15</v>
      </c>
      <c r="AI2" s="21"/>
      <c r="AJ2" s="21">
        <v>16</v>
      </c>
      <c r="AK2" s="21"/>
      <c r="AL2" s="21">
        <v>17</v>
      </c>
      <c r="AM2" s="21"/>
      <c r="AN2" s="21">
        <v>18</v>
      </c>
      <c r="AO2" s="21"/>
      <c r="AP2" s="21">
        <v>19</v>
      </c>
      <c r="AQ2" s="21"/>
      <c r="AR2" s="21">
        <v>20</v>
      </c>
      <c r="AS2" s="21"/>
      <c r="AT2" s="21">
        <v>21</v>
      </c>
      <c r="AU2" s="21"/>
      <c r="AV2" s="21">
        <v>22</v>
      </c>
      <c r="AW2" s="21"/>
      <c r="AX2" s="21">
        <v>23</v>
      </c>
      <c r="AY2" s="21"/>
      <c r="AZ2" s="21">
        <v>24</v>
      </c>
      <c r="BA2" s="21"/>
      <c r="BB2" s="21">
        <v>25</v>
      </c>
      <c r="BC2" s="21"/>
      <c r="BD2" s="21">
        <v>26</v>
      </c>
      <c r="BE2" s="21"/>
      <c r="BF2" s="21">
        <v>27</v>
      </c>
      <c r="BG2" s="21"/>
      <c r="BH2" s="21">
        <v>28</v>
      </c>
      <c r="BI2" s="21"/>
    </row>
    <row r="3" spans="2:61" x14ac:dyDescent="0.3">
      <c r="B3" s="18"/>
      <c r="C3" s="18"/>
      <c r="D3" s="18"/>
      <c r="E3" s="18" t="s">
        <v>32</v>
      </c>
      <c r="F3" s="22" t="s">
        <v>33</v>
      </c>
      <c r="G3" s="22">
        <f>'[1]Adieabatic Temperature Rise'!E6</f>
        <v>16.385650224215247</v>
      </c>
      <c r="H3" s="22" t="s">
        <v>33</v>
      </c>
      <c r="I3" s="22">
        <f>'[1]Adieabatic Temperature Rise'!E7</f>
        <v>3.6412556053811649</v>
      </c>
      <c r="J3" s="22" t="s">
        <v>34</v>
      </c>
      <c r="K3" s="22">
        <f>'[1]Adieabatic Temperature Rise'!E8</f>
        <v>4.0053811659192817</v>
      </c>
      <c r="L3" s="22" t="s">
        <v>34</v>
      </c>
      <c r="M3" s="22">
        <f>'[1]Adieabatic Temperature Rise'!E9</f>
        <v>1.2744394618834107</v>
      </c>
      <c r="N3" s="22" t="s">
        <v>34</v>
      </c>
      <c r="O3" s="22">
        <f>'[1]Adieabatic Temperature Rise'!E10</f>
        <v>1.638565022421524</v>
      </c>
      <c r="P3" s="22" t="s">
        <v>34</v>
      </c>
      <c r="Q3" s="22">
        <f>'[1]Adieabatic Temperature Rise'!E11</f>
        <v>1.638565022421524</v>
      </c>
      <c r="R3" s="22" t="s">
        <v>34</v>
      </c>
      <c r="S3" s="22">
        <f>'[1]Adieabatic Temperature Rise'!E12</f>
        <v>1.4565022421524674</v>
      </c>
      <c r="T3" s="22" t="s">
        <v>34</v>
      </c>
      <c r="U3" s="22">
        <f>'[1]Adieabatic Temperature Rise'!E13</f>
        <v>0.72825112107623013</v>
      </c>
      <c r="V3" s="22" t="s">
        <v>34</v>
      </c>
      <c r="W3" s="22">
        <f>'[1]Adieabatic Temperature Rise'!E14</f>
        <v>0.91031390134529033</v>
      </c>
      <c r="X3" s="22" t="s">
        <v>34</v>
      </c>
      <c r="Y3" s="22">
        <f>'[1]Adieabatic Temperature Rise'!E15</f>
        <v>0.72825112107623369</v>
      </c>
      <c r="Z3" s="22" t="s">
        <v>34</v>
      </c>
      <c r="AA3" s="22">
        <f>'[1]Adieabatic Temperature Rise'!E16</f>
        <v>0.3641255605381204</v>
      </c>
      <c r="AB3" s="22" t="s">
        <v>34</v>
      </c>
      <c r="AC3" s="22">
        <f>'[1]Adieabatic Temperature Rise'!E17</f>
        <v>0.63721973094170181</v>
      </c>
      <c r="AD3" s="22" t="s">
        <v>34</v>
      </c>
      <c r="AE3" s="22">
        <f>'[1]Adieabatic Temperature Rise'!E18</f>
        <v>0.81928251121076556</v>
      </c>
      <c r="AF3" s="22" t="s">
        <v>34</v>
      </c>
      <c r="AG3" s="22">
        <f>'[1]Adieabatic Temperature Rise'!E19</f>
        <v>1.2744394618834036</v>
      </c>
      <c r="AH3" s="22" t="s">
        <v>34</v>
      </c>
      <c r="AI3" s="22">
        <f>'[1]Adieabatic Temperature Rise'!E20</f>
        <v>0.91031390134529033</v>
      </c>
      <c r="AJ3" s="22" t="s">
        <v>34</v>
      </c>
      <c r="AK3" s="22">
        <f>'[1]Adieabatic Temperature Rise'!E21</f>
        <v>0.54618834080718415</v>
      </c>
      <c r="AL3" s="22" t="s">
        <v>34</v>
      </c>
      <c r="AM3" s="22">
        <f>'[1]Adieabatic Temperature Rise'!E22</f>
        <v>0.36412556053811329</v>
      </c>
      <c r="AN3" s="22" t="s">
        <v>34</v>
      </c>
      <c r="AO3" s="22">
        <f>'[1]Adieabatic Temperature Rise'!E23</f>
        <v>0.54618834080717704</v>
      </c>
      <c r="AP3" s="22" t="s">
        <v>34</v>
      </c>
      <c r="AQ3" s="22">
        <f>'[1]Adieabatic Temperature Rise'!E24</f>
        <v>0.18206278026904954</v>
      </c>
      <c r="AR3" s="22" t="s">
        <v>34</v>
      </c>
      <c r="AS3" s="22">
        <f>'[1]Adieabatic Temperature Rise'!E25</f>
        <v>0.18206278026906375</v>
      </c>
      <c r="AT3" s="22" t="s">
        <v>34</v>
      </c>
      <c r="AU3" s="22">
        <f>'[1]Adieabatic Temperature Rise'!E26</f>
        <v>0.54618834080717704</v>
      </c>
      <c r="AV3" s="22" t="s">
        <v>34</v>
      </c>
      <c r="AW3" s="22">
        <f>'[1]Adieabatic Temperature Rise'!E27</f>
        <v>0.27309417040358142</v>
      </c>
      <c r="AX3" s="22" t="s">
        <v>34</v>
      </c>
      <c r="AY3" s="22">
        <f>'[1]Adieabatic Temperature Rise'!E28</f>
        <v>0.27309417040358852</v>
      </c>
      <c r="AZ3" s="22" t="s">
        <v>34</v>
      </c>
      <c r="BA3" s="22">
        <f>'[1]Adieabatic Temperature Rise'!E29</f>
        <v>0.18206278026905665</v>
      </c>
      <c r="BB3" s="22" t="s">
        <v>34</v>
      </c>
      <c r="BC3" s="22">
        <f>'[1]Adieabatic Temperature Rise'!E30</f>
        <v>0.18206278026906375</v>
      </c>
      <c r="BD3" s="22" t="s">
        <v>34</v>
      </c>
      <c r="BE3" s="22">
        <f>'[1]Adieabatic Temperature Rise'!E31</f>
        <v>0.18206278026905665</v>
      </c>
      <c r="BF3" s="22" t="s">
        <v>34</v>
      </c>
      <c r="BG3" s="22">
        <f>'[1]Adieabatic Temperature Rise'!E32</f>
        <v>9.103139013452477E-2</v>
      </c>
      <c r="BH3" s="22" t="s">
        <v>34</v>
      </c>
      <c r="BI3" s="22">
        <f>'[1]Adieabatic Temperature Rise'!E33</f>
        <v>9.1031390134531875E-2</v>
      </c>
    </row>
    <row r="4" spans="2:61" x14ac:dyDescent="0.3">
      <c r="B4" s="18"/>
      <c r="C4" s="18"/>
      <c r="D4" s="18"/>
      <c r="E4" s="18"/>
      <c r="F4" s="22"/>
      <c r="G4" s="22"/>
      <c r="H4" s="22"/>
      <c r="I4" s="22"/>
      <c r="J4" s="22" t="s">
        <v>58</v>
      </c>
      <c r="K4" s="22">
        <f>'[1]Adieabatic Temperature Rise'!E6</f>
        <v>16.385650224215247</v>
      </c>
      <c r="L4" s="22" t="s">
        <v>58</v>
      </c>
      <c r="M4" s="22">
        <f>'[1]Adieabatic Temperature Rise'!E7</f>
        <v>3.6412556053811649</v>
      </c>
      <c r="N4" s="22" t="s">
        <v>58</v>
      </c>
      <c r="O4" s="22">
        <f>'[1]Adieabatic Temperature Rise'!E8</f>
        <v>4.0053811659192817</v>
      </c>
      <c r="P4" s="22" t="s">
        <v>58</v>
      </c>
      <c r="Q4" s="22">
        <f>'[1]Adieabatic Temperature Rise'!E9</f>
        <v>1.2744394618834107</v>
      </c>
      <c r="R4" s="22" t="s">
        <v>58</v>
      </c>
      <c r="S4" s="22">
        <f>'[1]Adieabatic Temperature Rise'!E10</f>
        <v>1.638565022421524</v>
      </c>
      <c r="T4" s="22" t="s">
        <v>58</v>
      </c>
      <c r="U4" s="22">
        <f>Q3</f>
        <v>1.638565022421524</v>
      </c>
      <c r="V4" s="22" t="s">
        <v>58</v>
      </c>
      <c r="W4" s="22">
        <f>S3</f>
        <v>1.4565022421524674</v>
      </c>
      <c r="X4" s="22" t="s">
        <v>58</v>
      </c>
      <c r="Y4" s="22">
        <f>U3</f>
        <v>0.72825112107623013</v>
      </c>
      <c r="Z4" s="22" t="s">
        <v>58</v>
      </c>
      <c r="AA4" s="22">
        <f>W3</f>
        <v>0.91031390134529033</v>
      </c>
      <c r="AB4" s="22" t="s">
        <v>58</v>
      </c>
      <c r="AC4" s="22">
        <f>Y3</f>
        <v>0.72825112107623369</v>
      </c>
      <c r="AD4" s="22" t="s">
        <v>58</v>
      </c>
      <c r="AE4" s="22">
        <f>AA3</f>
        <v>0.3641255605381204</v>
      </c>
      <c r="AF4" s="22" t="s">
        <v>58</v>
      </c>
      <c r="AG4" s="22">
        <f>AC3</f>
        <v>0.63721973094170181</v>
      </c>
      <c r="AH4" s="22" t="s">
        <v>58</v>
      </c>
      <c r="AI4" s="22">
        <f>AE3</f>
        <v>0.81928251121076556</v>
      </c>
      <c r="AJ4" s="22" t="s">
        <v>58</v>
      </c>
      <c r="AK4" s="22">
        <f>AG3</f>
        <v>1.2744394618834036</v>
      </c>
      <c r="AL4" s="22" t="s">
        <v>58</v>
      </c>
      <c r="AM4" s="22">
        <f>AI3</f>
        <v>0.91031390134529033</v>
      </c>
      <c r="AN4" s="22" t="s">
        <v>58</v>
      </c>
      <c r="AO4" s="22">
        <f>AK3</f>
        <v>0.54618834080718415</v>
      </c>
      <c r="AP4" s="22" t="s">
        <v>58</v>
      </c>
      <c r="AQ4" s="22">
        <f>AM3</f>
        <v>0.36412556053811329</v>
      </c>
      <c r="AR4" s="22" t="s">
        <v>58</v>
      </c>
      <c r="AS4" s="22">
        <f>AO3</f>
        <v>0.54618834080717704</v>
      </c>
      <c r="AT4" s="22" t="s">
        <v>58</v>
      </c>
      <c r="AU4" s="22">
        <f>AQ3</f>
        <v>0.18206278026904954</v>
      </c>
      <c r="AV4" s="22" t="s">
        <v>58</v>
      </c>
      <c r="AW4" s="22">
        <f>AS3</f>
        <v>0.18206278026906375</v>
      </c>
      <c r="AX4" s="22" t="s">
        <v>58</v>
      </c>
      <c r="AY4" s="22">
        <f>AU3</f>
        <v>0.54618834080717704</v>
      </c>
      <c r="AZ4" s="22" t="s">
        <v>58</v>
      </c>
      <c r="BA4" s="22">
        <f>AW3</f>
        <v>0.27309417040358142</v>
      </c>
      <c r="BB4" s="22" t="s">
        <v>58</v>
      </c>
      <c r="BC4" s="22">
        <f>AY3</f>
        <v>0.27309417040358852</v>
      </c>
      <c r="BD4" s="22" t="s">
        <v>58</v>
      </c>
      <c r="BE4" s="22">
        <f>BA3</f>
        <v>0.18206278026905665</v>
      </c>
      <c r="BF4" s="22" t="s">
        <v>58</v>
      </c>
      <c r="BG4" s="22">
        <f>BC3</f>
        <v>0.18206278026906375</v>
      </c>
      <c r="BH4" s="22" t="s">
        <v>58</v>
      </c>
      <c r="BI4" s="22">
        <f>BE3</f>
        <v>0.18206278026905665</v>
      </c>
    </row>
    <row r="5" spans="2:61" x14ac:dyDescent="0.3">
      <c r="B5" s="23" t="s">
        <v>35</v>
      </c>
      <c r="C5" s="14">
        <v>8</v>
      </c>
      <c r="D5" s="59" t="s">
        <v>62</v>
      </c>
      <c r="E5" s="25">
        <v>8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  <c r="AF5" s="26">
        <v>0</v>
      </c>
      <c r="AG5" s="26">
        <v>0</v>
      </c>
      <c r="AH5" s="26">
        <v>0</v>
      </c>
      <c r="AI5" s="26">
        <v>0</v>
      </c>
      <c r="AJ5" s="26">
        <v>0</v>
      </c>
      <c r="AK5" s="26">
        <v>0</v>
      </c>
      <c r="AL5" s="26">
        <v>0</v>
      </c>
      <c r="AM5" s="26">
        <v>0</v>
      </c>
      <c r="AN5" s="26">
        <v>0</v>
      </c>
      <c r="AO5" s="26">
        <v>0</v>
      </c>
      <c r="AP5" s="26">
        <v>0</v>
      </c>
      <c r="AQ5" s="26">
        <v>0</v>
      </c>
      <c r="AR5" s="26">
        <v>0</v>
      </c>
      <c r="AS5" s="26">
        <v>0</v>
      </c>
      <c r="AT5" s="26">
        <v>0</v>
      </c>
      <c r="AU5" s="26">
        <v>0</v>
      </c>
      <c r="AV5" s="26">
        <v>0</v>
      </c>
      <c r="AW5" s="26">
        <v>0</v>
      </c>
      <c r="AX5" s="26">
        <v>0</v>
      </c>
      <c r="AY5" s="26">
        <v>0</v>
      </c>
      <c r="AZ5" s="26">
        <v>0</v>
      </c>
      <c r="BA5" s="26">
        <v>0</v>
      </c>
      <c r="BB5" s="26">
        <v>0</v>
      </c>
      <c r="BC5" s="26">
        <v>0</v>
      </c>
      <c r="BD5" s="26">
        <v>0</v>
      </c>
      <c r="BE5" s="26">
        <v>0</v>
      </c>
      <c r="BF5" s="26">
        <v>0</v>
      </c>
      <c r="BG5" s="26">
        <v>0</v>
      </c>
      <c r="BH5" s="26">
        <v>0</v>
      </c>
      <c r="BI5" s="26">
        <v>0</v>
      </c>
    </row>
    <row r="6" spans="2:61" x14ac:dyDescent="0.3">
      <c r="B6" s="23"/>
      <c r="C6" s="14">
        <f>C5-0.2</f>
        <v>7.8</v>
      </c>
      <c r="D6" s="59"/>
      <c r="E6" s="25">
        <f>E5-0.2</f>
        <v>7.8</v>
      </c>
      <c r="F6" s="30"/>
      <c r="G6" s="30"/>
      <c r="H6" s="30"/>
      <c r="I6" s="5">
        <v>0</v>
      </c>
      <c r="J6" s="5">
        <v>0</v>
      </c>
      <c r="K6" s="30">
        <f>$K$4+J6</f>
        <v>16.385650224215247</v>
      </c>
      <c r="L6" s="30">
        <f>(K7+K5)/2</f>
        <v>8.1928251121076237</v>
      </c>
      <c r="M6" s="30">
        <f>L6+M$4</f>
        <v>11.834080717488789</v>
      </c>
      <c r="N6" s="30">
        <f t="shared" ref="N6" si="0">(M7+M5)/2</f>
        <v>10.013452914798206</v>
      </c>
      <c r="O6" s="30">
        <f t="shared" ref="O6" si="1">N6+O$4</f>
        <v>14.018834080717488</v>
      </c>
      <c r="P6" s="30">
        <f t="shared" ref="P6" si="2">(O7+O5)/2</f>
        <v>9.9679372197309419</v>
      </c>
      <c r="Q6" s="30">
        <f t="shared" ref="Q6" si="3">P6+Q$4</f>
        <v>11.242376681614353</v>
      </c>
      <c r="R6" s="30">
        <f t="shared" ref="R6" si="4">(Q7+Q5)/2</f>
        <v>10.15</v>
      </c>
      <c r="S6" s="30">
        <f t="shared" ref="S6" si="5">R6+S$4</f>
        <v>11.788565022421524</v>
      </c>
      <c r="T6" s="30">
        <f t="shared" ref="T6" si="6">(S7+S5)/2</f>
        <v>9.4445067264573996</v>
      </c>
      <c r="U6" s="30">
        <f t="shared" ref="U6" si="7">T6+U$4</f>
        <v>11.083071748878924</v>
      </c>
      <c r="V6" s="30">
        <f t="shared" ref="V6" si="8">(U7+U5)/2</f>
        <v>9.8769058295964118</v>
      </c>
      <c r="W6" s="30">
        <f t="shared" ref="W6" si="9">V6+W$4</f>
        <v>11.333408071748879</v>
      </c>
      <c r="X6" s="30">
        <f t="shared" ref="X6" si="10">(W7+W5)/2</f>
        <v>9.5099355381165918</v>
      </c>
      <c r="Y6" s="30">
        <f t="shared" ref="Y6" si="11">X6+Y$4</f>
        <v>10.238186659192822</v>
      </c>
      <c r="Z6" s="30">
        <f t="shared" ref="Z6" si="12">(Y7+Y5)/2</f>
        <v>9.4473514573991011</v>
      </c>
      <c r="AA6" s="30">
        <f t="shared" ref="AA6" si="13">Z6+AA$4</f>
        <v>10.357665358744391</v>
      </c>
      <c r="AB6" s="30">
        <f t="shared" ref="AB6:AP8" si="14">(AA7+AA5)/2</f>
        <v>9.0135299887892355</v>
      </c>
      <c r="AC6" s="30">
        <f t="shared" ref="AC6:AQ8" si="15">AB6+AC$4</f>
        <v>9.7417811098654692</v>
      </c>
      <c r="AD6" s="30">
        <f t="shared" ref="AD6" si="16">(AC7+AC5)/2</f>
        <v>9.0348654708520169</v>
      </c>
      <c r="AE6" s="30">
        <f t="shared" ref="AE6" si="17">AD6+AE$4</f>
        <v>9.3989910313901373</v>
      </c>
      <c r="AF6" s="30">
        <f t="shared" ref="AF6" si="18">(AE7+AE5)/2</f>
        <v>8.5025451933856502</v>
      </c>
      <c r="AG6" s="30">
        <f t="shared" ref="AG6" si="19">AF6+AG$4</f>
        <v>9.139764924327352</v>
      </c>
      <c r="AH6" s="30">
        <f t="shared" ref="AH6" si="20">(AG7+AG5)/2</f>
        <v>8.5110793862107634</v>
      </c>
      <c r="AI6" s="30">
        <f t="shared" ref="AI6" si="21">AH6+AI$4</f>
        <v>9.330361897421529</v>
      </c>
      <c r="AJ6" s="30">
        <f t="shared" ref="AJ6" si="22">(AI7+AI5)/2</f>
        <v>8.3704430002802699</v>
      </c>
      <c r="AK6" s="30">
        <f t="shared" ref="AK6" si="23">AJ6+AK$4</f>
        <v>9.6448824621636735</v>
      </c>
      <c r="AL6" s="30">
        <f t="shared" ref="AL6" si="24">(AK7+AK5)/2</f>
        <v>8.7244342068385663</v>
      </c>
      <c r="AM6" s="30">
        <f t="shared" ref="AM6" si="25">AL6+AM$4</f>
        <v>9.6347481081838566</v>
      </c>
      <c r="AN6" s="30">
        <f t="shared" ref="AN6" si="26">(AM7+AM5)/2</f>
        <v>8.666372803829173</v>
      </c>
      <c r="AO6" s="30">
        <f t="shared" ref="AO6" si="27">AN6+AO$4</f>
        <v>9.2125611446363571</v>
      </c>
      <c r="AP6" s="30">
        <f t="shared" ref="AP6" si="28">(AO7+AO5)/2</f>
        <v>8.5901651288361869</v>
      </c>
      <c r="AQ6" s="30">
        <f t="shared" ref="AQ6" si="29">AP6+AQ$4</f>
        <v>8.9542906893743002</v>
      </c>
      <c r="AR6" s="30">
        <f t="shared" ref="AR6:BF8" si="30">(AQ7+AQ5)/2</f>
        <v>8.2806395115873741</v>
      </c>
      <c r="AS6" s="30">
        <f t="shared" ref="AS6:BG8" si="31">AR6+AS$4</f>
        <v>8.8268278523945511</v>
      </c>
      <c r="AT6" s="30">
        <f t="shared" ref="AT6" si="32">(AS7+AS5)/2</f>
        <v>8.2632544273752835</v>
      </c>
      <c r="AU6" s="30">
        <f t="shared" ref="AU6" si="33">AT6+AU$4</f>
        <v>8.445317207644333</v>
      </c>
      <c r="AV6" s="30">
        <f t="shared" ref="AV6" si="34">(AU7+AU5)/2</f>
        <v>7.9506738149531717</v>
      </c>
      <c r="AW6" s="30">
        <f t="shared" ref="AW6" si="35">AV6+AW$4</f>
        <v>8.1327365952222355</v>
      </c>
      <c r="AX6" s="30">
        <f t="shared" ref="AX6" si="36">(AW7+AW5)/2</f>
        <v>7.7762911484380481</v>
      </c>
      <c r="AY6" s="30">
        <f t="shared" ref="AY6" si="37">AX6+AY$4</f>
        <v>8.3224794892452252</v>
      </c>
      <c r="AZ6" s="30">
        <f t="shared" ref="AZ6" si="38">(AY7+AY5)/2</f>
        <v>7.7184503839689533</v>
      </c>
      <c r="BA6" s="30">
        <f t="shared" ref="BA6" si="39">AZ6+BA$4</f>
        <v>7.9915445543725347</v>
      </c>
      <c r="BB6" s="30">
        <f t="shared" ref="BB6" si="40">(BA7+BA5)/2</f>
        <v>7.6487056862612999</v>
      </c>
      <c r="BC6" s="30">
        <f t="shared" ref="BC6" si="41">BB6+BC$4</f>
        <v>7.9217998566648884</v>
      </c>
      <c r="BD6" s="30">
        <f t="shared" ref="BD6" si="42">(BC7+BC5)/2</f>
        <v>7.4539082033217197</v>
      </c>
      <c r="BE6" s="30">
        <f t="shared" ref="BE6" si="43">BD6+BE$4</f>
        <v>7.6359709835907763</v>
      </c>
      <c r="BF6" s="30">
        <f t="shared" ref="BF6" si="44">(BE7+BE5)/2</f>
        <v>7.3582976627777494</v>
      </c>
      <c r="BG6" s="30">
        <f t="shared" ref="BG6" si="45">BF6+BG$4</f>
        <v>7.5403604430468132</v>
      </c>
      <c r="BH6" s="30">
        <f t="shared" ref="N6:BH19" si="46">(BG7+BG5)/2</f>
        <v>7.1611560879667779</v>
      </c>
      <c r="BI6" s="30">
        <f t="shared" ref="O6:BI19" si="47">BH6+BI$4</f>
        <v>7.3432188682358346</v>
      </c>
    </row>
    <row r="7" spans="2:61" x14ac:dyDescent="0.3">
      <c r="B7" s="23"/>
      <c r="C7" s="14">
        <f t="shared" ref="C7:C44" si="48">C6-0.2</f>
        <v>7.6</v>
      </c>
      <c r="D7" s="59"/>
      <c r="E7" s="25">
        <f t="shared" ref="E7:E44" si="49">E6-0.2</f>
        <v>7.6</v>
      </c>
      <c r="F7" s="30"/>
      <c r="G7" s="30"/>
      <c r="H7" s="30"/>
      <c r="I7" s="5">
        <v>0</v>
      </c>
      <c r="J7" s="5">
        <v>0</v>
      </c>
      <c r="K7" s="30">
        <f t="shared" ref="K7:K24" si="50">$K$4+J7</f>
        <v>16.385650224215247</v>
      </c>
      <c r="L7" s="30">
        <f t="shared" ref="L7:Z70" si="51">(K8+K6)/2</f>
        <v>16.385650224215247</v>
      </c>
      <c r="M7" s="30">
        <f t="shared" ref="M7:AA23" si="52">L7+M$4</f>
        <v>20.026905829596412</v>
      </c>
      <c r="N7" s="30">
        <f t="shared" si="51"/>
        <v>15.9304932735426</v>
      </c>
      <c r="O7" s="30">
        <f t="shared" si="52"/>
        <v>19.935874439461884</v>
      </c>
      <c r="P7" s="30">
        <f t="shared" si="51"/>
        <v>19.02556053811659</v>
      </c>
      <c r="Q7" s="30">
        <f t="shared" si="52"/>
        <v>20.3</v>
      </c>
      <c r="R7" s="30">
        <f t="shared" si="51"/>
        <v>17.250448430493275</v>
      </c>
      <c r="S7" s="30">
        <f t="shared" si="52"/>
        <v>18.889013452914799</v>
      </c>
      <c r="T7" s="30">
        <f t="shared" si="51"/>
        <v>18.1152466367713</v>
      </c>
      <c r="U7" s="30">
        <f t="shared" si="52"/>
        <v>19.753811659192824</v>
      </c>
      <c r="V7" s="30">
        <f t="shared" si="51"/>
        <v>17.563368834080716</v>
      </c>
      <c r="W7" s="30">
        <f t="shared" si="52"/>
        <v>19.019871076233184</v>
      </c>
      <c r="X7" s="30">
        <f t="shared" si="51"/>
        <v>18.166451793721972</v>
      </c>
      <c r="Y7" s="30">
        <f t="shared" si="52"/>
        <v>18.894702914798202</v>
      </c>
      <c r="Z7" s="30">
        <f t="shared" si="51"/>
        <v>17.116746076233181</v>
      </c>
      <c r="AA7" s="30">
        <f t="shared" si="52"/>
        <v>18.027059977578471</v>
      </c>
      <c r="AB7" s="30">
        <f t="shared" si="14"/>
        <v>17.3414798206278</v>
      </c>
      <c r="AC7" s="30">
        <f t="shared" si="15"/>
        <v>18.069730941704034</v>
      </c>
      <c r="AD7" s="30">
        <f t="shared" si="14"/>
        <v>16.64096482623318</v>
      </c>
      <c r="AE7" s="30">
        <f t="shared" si="15"/>
        <v>17.0050903867713</v>
      </c>
      <c r="AF7" s="30">
        <f t="shared" si="14"/>
        <v>16.384939041479825</v>
      </c>
      <c r="AG7" s="30">
        <f t="shared" si="15"/>
        <v>17.022158772421527</v>
      </c>
      <c r="AH7" s="30">
        <f t="shared" si="14"/>
        <v>15.921603489349774</v>
      </c>
      <c r="AI7" s="30">
        <f t="shared" si="15"/>
        <v>16.74088600056054</v>
      </c>
      <c r="AJ7" s="30">
        <f t="shared" si="14"/>
        <v>16.174428951793729</v>
      </c>
      <c r="AK7" s="30">
        <f t="shared" si="15"/>
        <v>17.448868413677133</v>
      </c>
      <c r="AL7" s="30">
        <f t="shared" si="14"/>
        <v>16.422431706313056</v>
      </c>
      <c r="AM7" s="30">
        <f t="shared" si="15"/>
        <v>17.332745607658346</v>
      </c>
      <c r="AN7" s="30">
        <f t="shared" si="14"/>
        <v>16.63414191686519</v>
      </c>
      <c r="AO7" s="30">
        <f t="shared" si="15"/>
        <v>17.180330257672374</v>
      </c>
      <c r="AP7" s="30">
        <f t="shared" si="14"/>
        <v>16.197153462636635</v>
      </c>
      <c r="AQ7" s="30">
        <f t="shared" si="15"/>
        <v>16.561279023174748</v>
      </c>
      <c r="AR7" s="30">
        <f t="shared" si="30"/>
        <v>15.980320513943388</v>
      </c>
      <c r="AS7" s="30">
        <f t="shared" si="31"/>
        <v>16.526508854750567</v>
      </c>
      <c r="AT7" s="30">
        <f t="shared" si="30"/>
        <v>15.719284849637294</v>
      </c>
      <c r="AU7" s="30">
        <f t="shared" si="31"/>
        <v>15.901347629906343</v>
      </c>
      <c r="AV7" s="30">
        <f t="shared" si="30"/>
        <v>15.370519516607033</v>
      </c>
      <c r="AW7" s="30">
        <f t="shared" si="31"/>
        <v>15.552582296876096</v>
      </c>
      <c r="AX7" s="30">
        <f t="shared" si="30"/>
        <v>14.89071242713073</v>
      </c>
      <c r="AY7" s="30">
        <f t="shared" si="31"/>
        <v>15.436900767937907</v>
      </c>
      <c r="AZ7" s="30">
        <f t="shared" si="30"/>
        <v>15.024317202119018</v>
      </c>
      <c r="BA7" s="30">
        <f t="shared" si="31"/>
        <v>15.2974113725226</v>
      </c>
      <c r="BB7" s="30">
        <f t="shared" si="30"/>
        <v>14.634722236239851</v>
      </c>
      <c r="BC7" s="30">
        <f t="shared" si="31"/>
        <v>14.907816406643439</v>
      </c>
      <c r="BD7" s="30">
        <f t="shared" si="30"/>
        <v>14.534532545286442</v>
      </c>
      <c r="BE7" s="30">
        <f t="shared" si="31"/>
        <v>14.716595325555499</v>
      </c>
      <c r="BF7" s="30">
        <f t="shared" si="30"/>
        <v>14.140249395664492</v>
      </c>
      <c r="BG7" s="30">
        <f t="shared" si="31"/>
        <v>14.322312175933556</v>
      </c>
      <c r="BH7" s="30">
        <f t="shared" si="46"/>
        <v>13.999527725537266</v>
      </c>
      <c r="BI7" s="30">
        <f t="shared" si="47"/>
        <v>14.181590505806323</v>
      </c>
    </row>
    <row r="8" spans="2:61" x14ac:dyDescent="0.3">
      <c r="B8" s="23"/>
      <c r="C8" s="14">
        <f t="shared" si="48"/>
        <v>7.3999999999999995</v>
      </c>
      <c r="D8" s="59"/>
      <c r="E8" s="25">
        <f t="shared" si="49"/>
        <v>7.3999999999999995</v>
      </c>
      <c r="F8" s="30"/>
      <c r="G8" s="30"/>
      <c r="H8" s="30"/>
      <c r="I8" s="5">
        <v>0</v>
      </c>
      <c r="J8" s="5">
        <v>0</v>
      </c>
      <c r="K8" s="30">
        <f t="shared" si="50"/>
        <v>16.385650224215247</v>
      </c>
      <c r="L8" s="30">
        <f t="shared" si="51"/>
        <v>16.385650224215247</v>
      </c>
      <c r="M8" s="30">
        <f t="shared" si="52"/>
        <v>20.026905829596412</v>
      </c>
      <c r="N8" s="30">
        <f t="shared" si="51"/>
        <v>20.026905829596412</v>
      </c>
      <c r="O8" s="30">
        <f t="shared" si="52"/>
        <v>24.032286995515694</v>
      </c>
      <c r="P8" s="30">
        <f t="shared" si="51"/>
        <v>21.984080717488787</v>
      </c>
      <c r="Q8" s="30">
        <f t="shared" si="52"/>
        <v>23.258520179372198</v>
      </c>
      <c r="R8" s="30">
        <f t="shared" si="51"/>
        <v>22.803363228699553</v>
      </c>
      <c r="S8" s="30">
        <f t="shared" si="52"/>
        <v>24.441928251121077</v>
      </c>
      <c r="T8" s="30">
        <f t="shared" si="51"/>
        <v>22.405100896860986</v>
      </c>
      <c r="U8" s="30">
        <f t="shared" si="52"/>
        <v>24.04366591928251</v>
      </c>
      <c r="V8" s="30">
        <f t="shared" si="51"/>
        <v>23.542993273542599</v>
      </c>
      <c r="W8" s="30">
        <f t="shared" si="52"/>
        <v>24.999495515695067</v>
      </c>
      <c r="X8" s="30">
        <f t="shared" si="51"/>
        <v>23.267054372197308</v>
      </c>
      <c r="Y8" s="30">
        <f t="shared" si="52"/>
        <v>23.995305493273538</v>
      </c>
      <c r="Z8" s="30">
        <f t="shared" si="51"/>
        <v>23.414980381165918</v>
      </c>
      <c r="AA8" s="30">
        <f t="shared" si="52"/>
        <v>24.325294282511209</v>
      </c>
      <c r="AB8" s="30">
        <f t="shared" si="14"/>
        <v>22.811897421524659</v>
      </c>
      <c r="AC8" s="30">
        <f t="shared" si="15"/>
        <v>23.540148542600893</v>
      </c>
      <c r="AD8" s="30">
        <f t="shared" si="14"/>
        <v>23.006761491031391</v>
      </c>
      <c r="AE8" s="30">
        <f t="shared" si="15"/>
        <v>23.370887051569511</v>
      </c>
      <c r="AF8" s="30">
        <f t="shared" si="14"/>
        <v>22.066222323430495</v>
      </c>
      <c r="AG8" s="30">
        <f t="shared" si="15"/>
        <v>22.703442054372196</v>
      </c>
      <c r="AH8" s="30">
        <f t="shared" si="14"/>
        <v>22.19921349495516</v>
      </c>
      <c r="AI8" s="30">
        <f t="shared" si="15"/>
        <v>23.018496006165925</v>
      </c>
      <c r="AJ8" s="30">
        <f t="shared" si="14"/>
        <v>21.925541488579036</v>
      </c>
      <c r="AK8" s="30">
        <f t="shared" si="15"/>
        <v>23.199980950462439</v>
      </c>
      <c r="AL8" s="30">
        <f t="shared" si="14"/>
        <v>22.723221824201236</v>
      </c>
      <c r="AM8" s="30">
        <f t="shared" si="15"/>
        <v>23.633535725546526</v>
      </c>
      <c r="AN8" s="30">
        <f t="shared" si="14"/>
        <v>22.635557439829732</v>
      </c>
      <c r="AO8" s="30">
        <f t="shared" si="15"/>
        <v>23.181745780636916</v>
      </c>
      <c r="AP8" s="30">
        <f t="shared" si="14"/>
        <v>22.642224777974363</v>
      </c>
      <c r="AQ8" s="30">
        <f t="shared" si="15"/>
        <v>23.006350338512476</v>
      </c>
      <c r="AR8" s="30">
        <f t="shared" si="30"/>
        <v>22.06555350607286</v>
      </c>
      <c r="AS8" s="30">
        <f t="shared" si="31"/>
        <v>22.611741846880037</v>
      </c>
      <c r="AT8" s="30">
        <f t="shared" si="30"/>
        <v>22.113659045300682</v>
      </c>
      <c r="AU8" s="30">
        <f t="shared" si="31"/>
        <v>22.295721825569732</v>
      </c>
      <c r="AV8" s="30">
        <f t="shared" si="30"/>
        <v>21.466625478770158</v>
      </c>
      <c r="AW8" s="30">
        <f t="shared" si="31"/>
        <v>21.648688259039222</v>
      </c>
      <c r="AX8" s="30">
        <f t="shared" si="30"/>
        <v>21.179966574185634</v>
      </c>
      <c r="AY8" s="30">
        <f t="shared" si="31"/>
        <v>21.726154914992811</v>
      </c>
      <c r="AZ8" s="30">
        <f t="shared" si="30"/>
        <v>21.004805747703585</v>
      </c>
      <c r="BA8" s="30">
        <f t="shared" si="31"/>
        <v>21.277899918107167</v>
      </c>
      <c r="BB8" s="30">
        <f t="shared" si="30"/>
        <v>20.874171063504409</v>
      </c>
      <c r="BC8" s="30">
        <f t="shared" si="31"/>
        <v>21.147265233907998</v>
      </c>
      <c r="BD8" s="30">
        <f t="shared" si="30"/>
        <v>20.46246502746915</v>
      </c>
      <c r="BE8" s="30">
        <f t="shared" si="31"/>
        <v>20.644527807738207</v>
      </c>
      <c r="BF8" s="30">
        <f t="shared" si="30"/>
        <v>20.276632227758654</v>
      </c>
      <c r="BG8" s="30">
        <f t="shared" si="31"/>
        <v>20.458695008027718</v>
      </c>
      <c r="BH8" s="30">
        <f t="shared" si="46"/>
        <v>19.837717076668287</v>
      </c>
      <c r="BI8" s="30">
        <f t="shared" si="47"/>
        <v>20.019779856937344</v>
      </c>
    </row>
    <row r="9" spans="2:61" x14ac:dyDescent="0.3">
      <c r="B9" s="23"/>
      <c r="C9" s="14">
        <f t="shared" si="48"/>
        <v>7.1999999999999993</v>
      </c>
      <c r="D9" s="59"/>
      <c r="E9" s="25">
        <f t="shared" si="49"/>
        <v>7.1999999999999993</v>
      </c>
      <c r="F9" s="30"/>
      <c r="G9" s="30"/>
      <c r="H9" s="30"/>
      <c r="I9" s="5">
        <v>0</v>
      </c>
      <c r="J9" s="5">
        <v>0</v>
      </c>
      <c r="K9" s="30">
        <f t="shared" si="50"/>
        <v>16.385650224215247</v>
      </c>
      <c r="L9" s="30">
        <f t="shared" si="51"/>
        <v>16.385650224215247</v>
      </c>
      <c r="M9" s="30">
        <f t="shared" si="52"/>
        <v>20.026905829596412</v>
      </c>
      <c r="N9" s="30">
        <f t="shared" si="46"/>
        <v>20.026905829596412</v>
      </c>
      <c r="O9" s="30">
        <f t="shared" si="47"/>
        <v>24.032286995515694</v>
      </c>
      <c r="P9" s="30">
        <f t="shared" si="46"/>
        <v>24.032286995515694</v>
      </c>
      <c r="Q9" s="30">
        <f t="shared" si="47"/>
        <v>25.306726457399105</v>
      </c>
      <c r="R9" s="30">
        <f t="shared" si="46"/>
        <v>24.282623318385653</v>
      </c>
      <c r="S9" s="30">
        <f t="shared" si="47"/>
        <v>25.921188340807177</v>
      </c>
      <c r="T9" s="30">
        <f t="shared" si="46"/>
        <v>25.693609865470854</v>
      </c>
      <c r="U9" s="30">
        <f t="shared" si="47"/>
        <v>27.332174887892378</v>
      </c>
      <c r="V9" s="30">
        <f t="shared" si="46"/>
        <v>26.057735426008968</v>
      </c>
      <c r="W9" s="30">
        <f t="shared" si="47"/>
        <v>27.514237668161435</v>
      </c>
      <c r="X9" s="30">
        <f t="shared" si="46"/>
        <v>27.207006726457401</v>
      </c>
      <c r="Y9" s="30">
        <f t="shared" si="47"/>
        <v>27.935257847533631</v>
      </c>
      <c r="Z9" s="30">
        <f t="shared" si="46"/>
        <v>26.686420964125556</v>
      </c>
      <c r="AA9" s="30">
        <f t="shared" si="47"/>
        <v>27.596734865470847</v>
      </c>
      <c r="AB9" s="30">
        <f t="shared" si="46"/>
        <v>27.21554091928251</v>
      </c>
      <c r="AC9" s="30">
        <f t="shared" si="47"/>
        <v>27.943792040358744</v>
      </c>
      <c r="AD9" s="30">
        <f t="shared" si="46"/>
        <v>26.763228699551565</v>
      </c>
      <c r="AE9" s="30">
        <f t="shared" si="47"/>
        <v>27.127354260089685</v>
      </c>
      <c r="AF9" s="30">
        <f t="shared" si="46"/>
        <v>26.739048486547091</v>
      </c>
      <c r="AG9" s="30">
        <f t="shared" si="47"/>
        <v>27.376268217488793</v>
      </c>
      <c r="AH9" s="30">
        <f t="shared" si="46"/>
        <v>26.29091446538677</v>
      </c>
      <c r="AI9" s="30">
        <f t="shared" si="47"/>
        <v>27.110196976597535</v>
      </c>
      <c r="AJ9" s="30">
        <f t="shared" si="46"/>
        <v>26.723135772841935</v>
      </c>
      <c r="AK9" s="30">
        <f t="shared" si="47"/>
        <v>27.997575234725339</v>
      </c>
      <c r="AL9" s="30">
        <f t="shared" si="46"/>
        <v>27.028055370655824</v>
      </c>
      <c r="AM9" s="30">
        <f t="shared" si="47"/>
        <v>27.938369272001115</v>
      </c>
      <c r="AN9" s="30">
        <f t="shared" si="46"/>
        <v>27.557930957469171</v>
      </c>
      <c r="AO9" s="30">
        <f t="shared" si="47"/>
        <v>28.104119298276355</v>
      </c>
      <c r="AP9" s="30">
        <f t="shared" si="46"/>
        <v>27.205702428432861</v>
      </c>
      <c r="AQ9" s="30">
        <f t="shared" si="47"/>
        <v>27.569827988970975</v>
      </c>
      <c r="AR9" s="30">
        <f t="shared" si="46"/>
        <v>27.154620895043621</v>
      </c>
      <c r="AS9" s="30">
        <f t="shared" si="47"/>
        <v>27.700809235850798</v>
      </c>
      <c r="AT9" s="30">
        <f t="shared" si="46"/>
        <v>26.849840547364924</v>
      </c>
      <c r="AU9" s="30">
        <f t="shared" si="47"/>
        <v>27.031903327633973</v>
      </c>
      <c r="AV9" s="30">
        <f t="shared" si="46"/>
        <v>26.625288071226109</v>
      </c>
      <c r="AW9" s="30">
        <f t="shared" si="47"/>
        <v>26.807350851495173</v>
      </c>
      <c r="AX9" s="30">
        <f t="shared" si="46"/>
        <v>26.026522386662087</v>
      </c>
      <c r="AY9" s="30">
        <f t="shared" si="47"/>
        <v>26.572710727469264</v>
      </c>
      <c r="AZ9" s="30">
        <f t="shared" si="46"/>
        <v>26.177836584082637</v>
      </c>
      <c r="BA9" s="30">
        <f t="shared" si="47"/>
        <v>26.450930754486219</v>
      </c>
      <c r="BB9" s="30">
        <f t="shared" si="46"/>
        <v>25.744019477891271</v>
      </c>
      <c r="BC9" s="30">
        <f t="shared" si="47"/>
        <v>26.01711364829486</v>
      </c>
      <c r="BD9" s="30">
        <f t="shared" si="46"/>
        <v>25.654606349692749</v>
      </c>
      <c r="BE9" s="30">
        <f t="shared" si="47"/>
        <v>25.836669129961805</v>
      </c>
      <c r="BF9" s="30">
        <f t="shared" si="46"/>
        <v>25.171059197133957</v>
      </c>
      <c r="BG9" s="30">
        <f t="shared" si="47"/>
        <v>25.353121977403021</v>
      </c>
      <c r="BH9" s="30">
        <f t="shared" si="46"/>
        <v>25.014726563526381</v>
      </c>
      <c r="BI9" s="30">
        <f t="shared" si="47"/>
        <v>25.196789343795437</v>
      </c>
    </row>
    <row r="10" spans="2:61" x14ac:dyDescent="0.3">
      <c r="B10" s="23"/>
      <c r="C10" s="14">
        <f t="shared" si="48"/>
        <v>6.9999999999999991</v>
      </c>
      <c r="D10" s="59"/>
      <c r="E10" s="25">
        <f t="shared" si="49"/>
        <v>6.9999999999999991</v>
      </c>
      <c r="F10" s="30"/>
      <c r="G10" s="30"/>
      <c r="H10" s="30"/>
      <c r="I10" s="5">
        <v>0</v>
      </c>
      <c r="J10" s="5">
        <v>0</v>
      </c>
      <c r="K10" s="30">
        <f t="shared" si="50"/>
        <v>16.385650224215247</v>
      </c>
      <c r="L10" s="30">
        <f t="shared" si="51"/>
        <v>16.385650224215247</v>
      </c>
      <c r="M10" s="30">
        <f t="shared" si="52"/>
        <v>20.026905829596412</v>
      </c>
      <c r="N10" s="30">
        <f t="shared" si="46"/>
        <v>20.026905829596412</v>
      </c>
      <c r="O10" s="30">
        <f t="shared" si="47"/>
        <v>24.032286995515694</v>
      </c>
      <c r="P10" s="30">
        <f t="shared" si="46"/>
        <v>24.032286995515694</v>
      </c>
      <c r="Q10" s="30">
        <f t="shared" si="47"/>
        <v>25.306726457399105</v>
      </c>
      <c r="R10" s="30">
        <f t="shared" si="46"/>
        <v>25.306726457399105</v>
      </c>
      <c r="S10" s="30">
        <f t="shared" si="47"/>
        <v>26.945291479820629</v>
      </c>
      <c r="T10" s="30">
        <f t="shared" si="46"/>
        <v>26.433239910313901</v>
      </c>
      <c r="U10" s="30">
        <f t="shared" si="47"/>
        <v>28.071804932735425</v>
      </c>
      <c r="V10" s="30">
        <f t="shared" si="46"/>
        <v>27.958015695067267</v>
      </c>
      <c r="W10" s="30">
        <f t="shared" si="47"/>
        <v>29.414517937219735</v>
      </c>
      <c r="X10" s="30">
        <f t="shared" si="46"/>
        <v>28.649285313901345</v>
      </c>
      <c r="Y10" s="30">
        <f t="shared" si="47"/>
        <v>29.377536434977575</v>
      </c>
      <c r="Z10" s="30">
        <f t="shared" si="46"/>
        <v>29.195473654708518</v>
      </c>
      <c r="AA10" s="30">
        <f t="shared" si="47"/>
        <v>30.105787556053809</v>
      </c>
      <c r="AB10" s="30">
        <f t="shared" si="46"/>
        <v>29.258057735426004</v>
      </c>
      <c r="AC10" s="30">
        <f t="shared" si="47"/>
        <v>29.986308856502237</v>
      </c>
      <c r="AD10" s="30">
        <f t="shared" si="46"/>
        <v>29.743084360986547</v>
      </c>
      <c r="AE10" s="30">
        <f t="shared" si="47"/>
        <v>30.107209921524667</v>
      </c>
      <c r="AF10" s="30">
        <f t="shared" si="46"/>
        <v>29.241167145459642</v>
      </c>
      <c r="AG10" s="30">
        <f t="shared" si="47"/>
        <v>29.878386876401343</v>
      </c>
      <c r="AH10" s="30">
        <f t="shared" si="46"/>
        <v>29.608493028307176</v>
      </c>
      <c r="AI10" s="30">
        <f t="shared" si="47"/>
        <v>30.427775539517942</v>
      </c>
      <c r="AJ10" s="30">
        <f t="shared" si="46"/>
        <v>29.581690328965806</v>
      </c>
      <c r="AK10" s="30">
        <f t="shared" si="47"/>
        <v>30.856129790849209</v>
      </c>
      <c r="AL10" s="30">
        <f t="shared" si="46"/>
        <v>30.572012288046526</v>
      </c>
      <c r="AM10" s="30">
        <f t="shared" si="47"/>
        <v>31.482326189391816</v>
      </c>
      <c r="AN10" s="30">
        <f t="shared" si="46"/>
        <v>30.683470735421622</v>
      </c>
      <c r="AO10" s="30">
        <f t="shared" si="47"/>
        <v>31.229659076228806</v>
      </c>
      <c r="AP10" s="30">
        <f t="shared" si="46"/>
        <v>30.938765891036653</v>
      </c>
      <c r="AQ10" s="30">
        <f t="shared" si="47"/>
        <v>31.302891451574766</v>
      </c>
      <c r="AR10" s="30">
        <f t="shared" si="46"/>
        <v>30.541750907042633</v>
      </c>
      <c r="AS10" s="30">
        <f t="shared" si="47"/>
        <v>31.08793924784981</v>
      </c>
      <c r="AT10" s="30">
        <f t="shared" si="46"/>
        <v>30.772791536613436</v>
      </c>
      <c r="AU10" s="30">
        <f t="shared" si="47"/>
        <v>30.954854316882486</v>
      </c>
      <c r="AV10" s="30">
        <f t="shared" si="46"/>
        <v>30.222293734015892</v>
      </c>
      <c r="AW10" s="30">
        <f t="shared" si="47"/>
        <v>30.404356514284956</v>
      </c>
      <c r="AX10" s="30">
        <f t="shared" si="46"/>
        <v>30.083329912365286</v>
      </c>
      <c r="AY10" s="30">
        <f t="shared" si="47"/>
        <v>30.629518253172463</v>
      </c>
      <c r="AZ10" s="30">
        <f t="shared" si="46"/>
        <v>29.937044867271794</v>
      </c>
      <c r="BA10" s="30">
        <f t="shared" si="47"/>
        <v>30.210139037675376</v>
      </c>
      <c r="BB10" s="30">
        <f t="shared" si="46"/>
        <v>29.888853295073915</v>
      </c>
      <c r="BC10" s="30">
        <f t="shared" si="47"/>
        <v>30.161947465477503</v>
      </c>
      <c r="BD10" s="30">
        <f t="shared" si="46"/>
        <v>29.51552780626065</v>
      </c>
      <c r="BE10" s="30">
        <f t="shared" si="47"/>
        <v>29.697590586529707</v>
      </c>
      <c r="BF10" s="30">
        <f t="shared" si="46"/>
        <v>29.388695338755976</v>
      </c>
      <c r="BG10" s="30">
        <f t="shared" si="47"/>
        <v>29.57075811902504</v>
      </c>
      <c r="BH10" s="30">
        <f t="shared" si="46"/>
        <v>28.957340891064543</v>
      </c>
      <c r="BI10" s="30">
        <f t="shared" si="47"/>
        <v>29.1394036713336</v>
      </c>
    </row>
    <row r="11" spans="2:61" x14ac:dyDescent="0.3">
      <c r="B11" s="23"/>
      <c r="C11" s="14">
        <f t="shared" si="48"/>
        <v>6.7999999999999989</v>
      </c>
      <c r="D11" s="59"/>
      <c r="E11" s="25">
        <f t="shared" si="49"/>
        <v>6.7999999999999989</v>
      </c>
      <c r="F11" s="30"/>
      <c r="G11" s="30"/>
      <c r="H11" s="30"/>
      <c r="I11" s="5">
        <v>0</v>
      </c>
      <c r="J11" s="5">
        <v>0</v>
      </c>
      <c r="K11" s="30">
        <f t="shared" si="50"/>
        <v>16.385650224215247</v>
      </c>
      <c r="L11" s="30">
        <f t="shared" si="51"/>
        <v>16.385650224215247</v>
      </c>
      <c r="M11" s="30">
        <f t="shared" si="52"/>
        <v>20.026905829596412</v>
      </c>
      <c r="N11" s="30">
        <f t="shared" si="46"/>
        <v>20.026905829596412</v>
      </c>
      <c r="O11" s="30">
        <f t="shared" si="47"/>
        <v>24.032286995515694</v>
      </c>
      <c r="P11" s="30">
        <f t="shared" si="46"/>
        <v>24.032286995515694</v>
      </c>
      <c r="Q11" s="30">
        <f t="shared" si="47"/>
        <v>25.306726457399105</v>
      </c>
      <c r="R11" s="30">
        <f t="shared" si="46"/>
        <v>25.306726457399105</v>
      </c>
      <c r="S11" s="30">
        <f t="shared" si="47"/>
        <v>26.945291479820629</v>
      </c>
      <c r="T11" s="30">
        <f t="shared" si="46"/>
        <v>26.945291479820629</v>
      </c>
      <c r="U11" s="30">
        <f t="shared" si="47"/>
        <v>28.583856502242153</v>
      </c>
      <c r="V11" s="30">
        <f t="shared" si="46"/>
        <v>28.327830717488787</v>
      </c>
      <c r="W11" s="30">
        <f t="shared" si="47"/>
        <v>29.784332959641254</v>
      </c>
      <c r="X11" s="30">
        <f t="shared" si="46"/>
        <v>29.727438340807176</v>
      </c>
      <c r="Y11" s="30">
        <f t="shared" si="47"/>
        <v>30.455689461883406</v>
      </c>
      <c r="Z11" s="30">
        <f t="shared" si="46"/>
        <v>30.00906670403587</v>
      </c>
      <c r="AA11" s="30">
        <f t="shared" si="47"/>
        <v>30.919380605381161</v>
      </c>
      <c r="AB11" s="30">
        <f t="shared" si="46"/>
        <v>30.814125560538116</v>
      </c>
      <c r="AC11" s="30">
        <f t="shared" si="47"/>
        <v>31.54237668161435</v>
      </c>
      <c r="AD11" s="30">
        <f t="shared" si="46"/>
        <v>30.990854470291474</v>
      </c>
      <c r="AE11" s="30">
        <f t="shared" si="47"/>
        <v>31.354980030829594</v>
      </c>
      <c r="AF11" s="30">
        <f t="shared" si="46"/>
        <v>31.203498108183858</v>
      </c>
      <c r="AG11" s="30">
        <f t="shared" si="47"/>
        <v>31.84071783912556</v>
      </c>
      <c r="AH11" s="30">
        <f t="shared" si="46"/>
        <v>31.233901170123314</v>
      </c>
      <c r="AI11" s="30">
        <f t="shared" si="47"/>
        <v>32.053183681334076</v>
      </c>
      <c r="AJ11" s="30">
        <f t="shared" si="46"/>
        <v>31.87200987948431</v>
      </c>
      <c r="AK11" s="30">
        <f t="shared" si="47"/>
        <v>33.146449341367713</v>
      </c>
      <c r="AL11" s="30">
        <f t="shared" si="46"/>
        <v>32.518258297496843</v>
      </c>
      <c r="AM11" s="30">
        <f t="shared" si="47"/>
        <v>33.428572198842133</v>
      </c>
      <c r="AN11" s="30">
        <f t="shared" si="46"/>
        <v>33.227224142989769</v>
      </c>
      <c r="AO11" s="30">
        <f t="shared" si="47"/>
        <v>33.773412483796953</v>
      </c>
      <c r="AP11" s="30">
        <f t="shared" si="46"/>
        <v>33.149548264576183</v>
      </c>
      <c r="AQ11" s="30">
        <f t="shared" si="47"/>
        <v>33.513673825114296</v>
      </c>
      <c r="AR11" s="30">
        <f t="shared" si="46"/>
        <v>33.298585496568897</v>
      </c>
      <c r="AS11" s="30">
        <f t="shared" si="47"/>
        <v>33.844773837376074</v>
      </c>
      <c r="AT11" s="30">
        <f t="shared" si="46"/>
        <v>33.230621360128765</v>
      </c>
      <c r="AU11" s="30">
        <f t="shared" si="47"/>
        <v>33.412684140397815</v>
      </c>
      <c r="AV11" s="30">
        <f t="shared" si="46"/>
        <v>33.177246192966336</v>
      </c>
      <c r="AW11" s="30">
        <f t="shared" si="47"/>
        <v>33.3593089732354</v>
      </c>
      <c r="AX11" s="30">
        <f t="shared" si="46"/>
        <v>32.755190666267147</v>
      </c>
      <c r="AY11" s="30">
        <f t="shared" si="47"/>
        <v>33.301379007074324</v>
      </c>
      <c r="AZ11" s="30">
        <f t="shared" si="46"/>
        <v>33.053681665258026</v>
      </c>
      <c r="BA11" s="30">
        <f t="shared" si="47"/>
        <v>33.326775835661607</v>
      </c>
      <c r="BB11" s="30">
        <f t="shared" si="46"/>
        <v>32.740847793822851</v>
      </c>
      <c r="BC11" s="30">
        <f t="shared" si="47"/>
        <v>33.01394196422644</v>
      </c>
      <c r="BD11" s="30">
        <f t="shared" si="46"/>
        <v>32.758658767281091</v>
      </c>
      <c r="BE11" s="30">
        <f t="shared" si="47"/>
        <v>32.940721547550147</v>
      </c>
      <c r="BF11" s="30">
        <f t="shared" si="46"/>
        <v>32.379497024457002</v>
      </c>
      <c r="BG11" s="30">
        <f t="shared" si="47"/>
        <v>32.561559804726066</v>
      </c>
      <c r="BH11" s="30">
        <f t="shared" si="46"/>
        <v>32.306659230950707</v>
      </c>
      <c r="BI11" s="30">
        <f t="shared" si="47"/>
        <v>32.488722011219764</v>
      </c>
    </row>
    <row r="12" spans="2:61" x14ac:dyDescent="0.3">
      <c r="B12" s="23"/>
      <c r="C12" s="14">
        <f t="shared" si="48"/>
        <v>6.5999999999999988</v>
      </c>
      <c r="D12" s="59"/>
      <c r="E12" s="25">
        <f t="shared" si="49"/>
        <v>6.5999999999999988</v>
      </c>
      <c r="F12" s="30"/>
      <c r="G12" s="30"/>
      <c r="H12" s="30"/>
      <c r="I12" s="5">
        <v>0</v>
      </c>
      <c r="J12" s="5">
        <v>0</v>
      </c>
      <c r="K12" s="30">
        <f t="shared" si="50"/>
        <v>16.385650224215247</v>
      </c>
      <c r="L12" s="30">
        <f t="shared" si="51"/>
        <v>16.385650224215247</v>
      </c>
      <c r="M12" s="30">
        <f t="shared" si="52"/>
        <v>20.026905829596412</v>
      </c>
      <c r="N12" s="30">
        <f t="shared" si="46"/>
        <v>20.026905829596412</v>
      </c>
      <c r="O12" s="30">
        <f t="shared" si="47"/>
        <v>24.032286995515694</v>
      </c>
      <c r="P12" s="30">
        <f t="shared" si="46"/>
        <v>24.032286995515694</v>
      </c>
      <c r="Q12" s="30">
        <f t="shared" si="47"/>
        <v>25.306726457399105</v>
      </c>
      <c r="R12" s="30">
        <f t="shared" si="46"/>
        <v>25.306726457399105</v>
      </c>
      <c r="S12" s="30">
        <f t="shared" si="47"/>
        <v>26.945291479820629</v>
      </c>
      <c r="T12" s="30">
        <f t="shared" si="46"/>
        <v>26.945291479820629</v>
      </c>
      <c r="U12" s="30">
        <f t="shared" si="47"/>
        <v>28.583856502242153</v>
      </c>
      <c r="V12" s="30">
        <f t="shared" si="46"/>
        <v>28.583856502242153</v>
      </c>
      <c r="W12" s="30">
        <f t="shared" si="47"/>
        <v>30.04035874439462</v>
      </c>
      <c r="X12" s="30">
        <f t="shared" si="46"/>
        <v>29.912345852017935</v>
      </c>
      <c r="Y12" s="30">
        <f t="shared" si="47"/>
        <v>30.640596973094166</v>
      </c>
      <c r="Z12" s="30">
        <f t="shared" si="46"/>
        <v>30.61214966367713</v>
      </c>
      <c r="AA12" s="30">
        <f t="shared" si="47"/>
        <v>31.52246356502242</v>
      </c>
      <c r="AB12" s="30">
        <f t="shared" si="46"/>
        <v>31.26714896300448</v>
      </c>
      <c r="AC12" s="30">
        <f t="shared" si="47"/>
        <v>31.995400084080714</v>
      </c>
      <c r="AD12" s="30">
        <f t="shared" si="46"/>
        <v>31.935660734304932</v>
      </c>
      <c r="AE12" s="30">
        <f t="shared" si="47"/>
        <v>32.299786294843052</v>
      </c>
      <c r="AF12" s="30">
        <f t="shared" si="46"/>
        <v>31.952195732903586</v>
      </c>
      <c r="AG12" s="30">
        <f t="shared" si="47"/>
        <v>32.589415463845285</v>
      </c>
      <c r="AH12" s="30">
        <f t="shared" si="46"/>
        <v>32.496961708239908</v>
      </c>
      <c r="AI12" s="30">
        <f t="shared" si="47"/>
        <v>33.316244219450674</v>
      </c>
      <c r="AJ12" s="30">
        <f t="shared" si="46"/>
        <v>32.905947342261072</v>
      </c>
      <c r="AK12" s="30">
        <f t="shared" si="47"/>
        <v>34.180386804144476</v>
      </c>
      <c r="AL12" s="30">
        <f t="shared" si="46"/>
        <v>34.061808195242435</v>
      </c>
      <c r="AM12" s="30">
        <f t="shared" si="47"/>
        <v>34.972122096587725</v>
      </c>
      <c r="AN12" s="30">
        <f t="shared" si="46"/>
        <v>34.523249112116375</v>
      </c>
      <c r="AO12" s="30">
        <f t="shared" si="47"/>
        <v>35.069437452923559</v>
      </c>
      <c r="AP12" s="30">
        <f t="shared" si="46"/>
        <v>34.930153981024915</v>
      </c>
      <c r="AQ12" s="30">
        <f t="shared" si="47"/>
        <v>35.294279541563029</v>
      </c>
      <c r="AR12" s="30">
        <f t="shared" si="46"/>
        <v>34.82711513160055</v>
      </c>
      <c r="AS12" s="30">
        <f t="shared" si="47"/>
        <v>35.373303472407727</v>
      </c>
      <c r="AT12" s="30">
        <f t="shared" si="46"/>
        <v>35.217575288781141</v>
      </c>
      <c r="AU12" s="30">
        <f t="shared" si="47"/>
        <v>35.399638069050191</v>
      </c>
      <c r="AV12" s="30">
        <f t="shared" si="46"/>
        <v>34.923962037980274</v>
      </c>
      <c r="AW12" s="30">
        <f t="shared" si="47"/>
        <v>35.106024818249338</v>
      </c>
      <c r="AX12" s="30">
        <f t="shared" si="46"/>
        <v>34.931656736536411</v>
      </c>
      <c r="AY12" s="30">
        <f t="shared" si="47"/>
        <v>35.477845077343588</v>
      </c>
      <c r="AZ12" s="30">
        <f t="shared" si="46"/>
        <v>34.998462379566753</v>
      </c>
      <c r="BA12" s="30">
        <f t="shared" si="47"/>
        <v>35.271556549970335</v>
      </c>
      <c r="BB12" s="30">
        <f t="shared" si="46"/>
        <v>35.08227589868109</v>
      </c>
      <c r="BC12" s="30">
        <f t="shared" si="47"/>
        <v>35.355370069084678</v>
      </c>
      <c r="BD12" s="30">
        <f t="shared" si="46"/>
        <v>34.879340682115242</v>
      </c>
      <c r="BE12" s="30">
        <f t="shared" si="47"/>
        <v>35.061403462384298</v>
      </c>
      <c r="BF12" s="30">
        <f t="shared" si="46"/>
        <v>34.860497562607307</v>
      </c>
      <c r="BG12" s="30">
        <f t="shared" si="47"/>
        <v>35.042560342876371</v>
      </c>
      <c r="BH12" s="30">
        <f t="shared" si="46"/>
        <v>34.576223777789167</v>
      </c>
      <c r="BI12" s="30">
        <f t="shared" si="47"/>
        <v>34.758286558058224</v>
      </c>
    </row>
    <row r="13" spans="2:61" x14ac:dyDescent="0.3">
      <c r="B13" s="23"/>
      <c r="C13" s="14">
        <f t="shared" si="48"/>
        <v>6.3999999999999986</v>
      </c>
      <c r="D13" s="59"/>
      <c r="E13" s="25">
        <f t="shared" si="49"/>
        <v>6.3999999999999986</v>
      </c>
      <c r="F13" s="30"/>
      <c r="G13" s="30"/>
      <c r="H13" s="30"/>
      <c r="I13" s="5">
        <v>0</v>
      </c>
      <c r="J13" s="5">
        <v>0</v>
      </c>
      <c r="K13" s="30">
        <f t="shared" si="50"/>
        <v>16.385650224215247</v>
      </c>
      <c r="L13" s="30">
        <f t="shared" si="51"/>
        <v>16.385650224215247</v>
      </c>
      <c r="M13" s="30">
        <f t="shared" si="52"/>
        <v>20.026905829596412</v>
      </c>
      <c r="N13" s="30">
        <f t="shared" si="46"/>
        <v>20.026905829596412</v>
      </c>
      <c r="O13" s="30">
        <f t="shared" si="47"/>
        <v>24.032286995515694</v>
      </c>
      <c r="P13" s="30">
        <f t="shared" si="46"/>
        <v>24.032286995515694</v>
      </c>
      <c r="Q13" s="30">
        <f t="shared" si="47"/>
        <v>25.306726457399105</v>
      </c>
      <c r="R13" s="30">
        <f t="shared" si="46"/>
        <v>25.306726457399105</v>
      </c>
      <c r="S13" s="30">
        <f t="shared" si="47"/>
        <v>26.945291479820629</v>
      </c>
      <c r="T13" s="30">
        <f t="shared" si="46"/>
        <v>26.945291479820629</v>
      </c>
      <c r="U13" s="30">
        <f t="shared" si="47"/>
        <v>28.583856502242153</v>
      </c>
      <c r="V13" s="30">
        <f t="shared" si="46"/>
        <v>28.583856502242153</v>
      </c>
      <c r="W13" s="30">
        <f t="shared" si="47"/>
        <v>30.04035874439462</v>
      </c>
      <c r="X13" s="30">
        <f t="shared" si="46"/>
        <v>30.04035874439462</v>
      </c>
      <c r="Y13" s="30">
        <f t="shared" si="47"/>
        <v>30.76860986547085</v>
      </c>
      <c r="Z13" s="30">
        <f t="shared" si="46"/>
        <v>30.704603419282506</v>
      </c>
      <c r="AA13" s="30">
        <f t="shared" si="47"/>
        <v>31.614917320627796</v>
      </c>
      <c r="AB13" s="30">
        <f t="shared" si="46"/>
        <v>31.60069366591928</v>
      </c>
      <c r="AC13" s="30">
        <f t="shared" si="47"/>
        <v>32.328944786995514</v>
      </c>
      <c r="AD13" s="30">
        <f t="shared" si="46"/>
        <v>32.185285874439458</v>
      </c>
      <c r="AE13" s="30">
        <f t="shared" si="47"/>
        <v>32.549411434977578</v>
      </c>
      <c r="AF13" s="30">
        <f t="shared" si="46"/>
        <v>32.515985846412562</v>
      </c>
      <c r="AG13" s="30">
        <f t="shared" si="47"/>
        <v>33.153205577354264</v>
      </c>
      <c r="AH13" s="30">
        <f t="shared" si="46"/>
        <v>32.939428491977296</v>
      </c>
      <c r="AI13" s="30">
        <f t="shared" si="47"/>
        <v>33.758711003188061</v>
      </c>
      <c r="AJ13" s="30">
        <f t="shared" si="46"/>
        <v>33.702727587233746</v>
      </c>
      <c r="AK13" s="30">
        <f t="shared" si="47"/>
        <v>34.977167049117149</v>
      </c>
      <c r="AL13" s="30">
        <f t="shared" si="46"/>
        <v>34.707612124045326</v>
      </c>
      <c r="AM13" s="30">
        <f t="shared" si="47"/>
        <v>35.617926025390616</v>
      </c>
      <c r="AN13" s="30">
        <f t="shared" si="46"/>
        <v>35.540707137445693</v>
      </c>
      <c r="AO13" s="30">
        <f t="shared" si="47"/>
        <v>36.086895478252877</v>
      </c>
      <c r="AP13" s="30">
        <f t="shared" si="46"/>
        <v>35.776430877548698</v>
      </c>
      <c r="AQ13" s="30">
        <f t="shared" si="47"/>
        <v>36.140556438086811</v>
      </c>
      <c r="AR13" s="30">
        <f t="shared" si="46"/>
        <v>36.044188399379031</v>
      </c>
      <c r="AS13" s="30">
        <f t="shared" si="47"/>
        <v>36.590376740186208</v>
      </c>
      <c r="AT13" s="30">
        <f t="shared" si="46"/>
        <v>36.253177155293692</v>
      </c>
      <c r="AU13" s="30">
        <f t="shared" si="47"/>
        <v>36.435239935562741</v>
      </c>
      <c r="AV13" s="30">
        <f t="shared" si="46"/>
        <v>36.321941719568358</v>
      </c>
      <c r="AW13" s="30">
        <f t="shared" si="47"/>
        <v>36.504004499837421</v>
      </c>
      <c r="AX13" s="30">
        <f t="shared" si="46"/>
        <v>36.149357411252005</v>
      </c>
      <c r="AY13" s="30">
        <f t="shared" si="47"/>
        <v>36.695545752059182</v>
      </c>
      <c r="AZ13" s="30">
        <f t="shared" si="46"/>
        <v>36.564681791296991</v>
      </c>
      <c r="BA13" s="30">
        <f t="shared" si="47"/>
        <v>36.837775961700572</v>
      </c>
      <c r="BB13" s="30">
        <f t="shared" si="46"/>
        <v>36.471645229600462</v>
      </c>
      <c r="BC13" s="30">
        <f t="shared" si="47"/>
        <v>36.74473940000405</v>
      </c>
      <c r="BD13" s="30">
        <f t="shared" si="46"/>
        <v>36.598210797395403</v>
      </c>
      <c r="BE13" s="30">
        <f t="shared" si="47"/>
        <v>36.78027357766446</v>
      </c>
      <c r="BF13" s="30">
        <f t="shared" si="46"/>
        <v>36.408824970583197</v>
      </c>
      <c r="BG13" s="30">
        <f t="shared" si="47"/>
        <v>36.590887750852261</v>
      </c>
      <c r="BH13" s="30">
        <f t="shared" si="46"/>
        <v>36.43082470140115</v>
      </c>
      <c r="BI13" s="30">
        <f t="shared" si="47"/>
        <v>36.612887481670207</v>
      </c>
    </row>
    <row r="14" spans="2:61" x14ac:dyDescent="0.3">
      <c r="B14" s="23"/>
      <c r="C14" s="14">
        <f t="shared" si="48"/>
        <v>6.1999999999999984</v>
      </c>
      <c r="D14" s="59"/>
      <c r="E14" s="25">
        <f t="shared" si="49"/>
        <v>6.1999999999999984</v>
      </c>
      <c r="F14" s="30"/>
      <c r="G14" s="30"/>
      <c r="H14" s="30"/>
      <c r="I14" s="5">
        <v>0</v>
      </c>
      <c r="J14" s="5">
        <v>0</v>
      </c>
      <c r="K14" s="30">
        <f t="shared" si="50"/>
        <v>16.385650224215247</v>
      </c>
      <c r="L14" s="30">
        <f t="shared" si="51"/>
        <v>16.385650224215247</v>
      </c>
      <c r="M14" s="30">
        <f t="shared" si="52"/>
        <v>20.026905829596412</v>
      </c>
      <c r="N14" s="30">
        <f t="shared" si="46"/>
        <v>20.026905829596412</v>
      </c>
      <c r="O14" s="30">
        <f t="shared" si="47"/>
        <v>24.032286995515694</v>
      </c>
      <c r="P14" s="30">
        <f t="shared" si="46"/>
        <v>24.032286995515694</v>
      </c>
      <c r="Q14" s="30">
        <f t="shared" si="47"/>
        <v>25.306726457399105</v>
      </c>
      <c r="R14" s="30">
        <f t="shared" si="46"/>
        <v>25.306726457399105</v>
      </c>
      <c r="S14" s="30">
        <f t="shared" si="47"/>
        <v>26.945291479820629</v>
      </c>
      <c r="T14" s="30">
        <f t="shared" si="46"/>
        <v>26.945291479820629</v>
      </c>
      <c r="U14" s="30">
        <f t="shared" si="47"/>
        <v>28.583856502242153</v>
      </c>
      <c r="V14" s="30">
        <f t="shared" si="46"/>
        <v>28.583856502242153</v>
      </c>
      <c r="W14" s="30">
        <f t="shared" si="47"/>
        <v>30.04035874439462</v>
      </c>
      <c r="X14" s="30">
        <f t="shared" si="46"/>
        <v>30.04035874439462</v>
      </c>
      <c r="Y14" s="30">
        <f t="shared" si="47"/>
        <v>30.76860986547085</v>
      </c>
      <c r="Z14" s="30">
        <f t="shared" si="46"/>
        <v>30.76860986547085</v>
      </c>
      <c r="AA14" s="30">
        <f t="shared" si="47"/>
        <v>31.678923766816141</v>
      </c>
      <c r="AB14" s="30">
        <f t="shared" si="46"/>
        <v>31.646920543721968</v>
      </c>
      <c r="AC14" s="30">
        <f t="shared" si="47"/>
        <v>32.375171664798202</v>
      </c>
      <c r="AD14" s="30">
        <f t="shared" si="46"/>
        <v>32.368059837443944</v>
      </c>
      <c r="AE14" s="30">
        <f t="shared" si="47"/>
        <v>32.732185397982065</v>
      </c>
      <c r="AF14" s="30">
        <f t="shared" si="46"/>
        <v>32.652221789167598</v>
      </c>
      <c r="AG14" s="30">
        <f t="shared" si="47"/>
        <v>33.2894415201093</v>
      </c>
      <c r="AH14" s="30">
        <f t="shared" si="46"/>
        <v>33.269928443806052</v>
      </c>
      <c r="AI14" s="30">
        <f t="shared" si="47"/>
        <v>34.089210955016817</v>
      </c>
      <c r="AJ14" s="30">
        <f t="shared" si="46"/>
        <v>33.96039798206278</v>
      </c>
      <c r="AK14" s="30">
        <f t="shared" si="47"/>
        <v>35.234837443946184</v>
      </c>
      <c r="AL14" s="30">
        <f t="shared" si="46"/>
        <v>35.198978276958378</v>
      </c>
      <c r="AM14" s="30">
        <f t="shared" si="47"/>
        <v>36.109292178303669</v>
      </c>
      <c r="AN14" s="30">
        <f t="shared" si="46"/>
        <v>35.937235961366653</v>
      </c>
      <c r="AO14" s="30">
        <f t="shared" si="47"/>
        <v>36.483424302173837</v>
      </c>
      <c r="AP14" s="30">
        <f t="shared" si="46"/>
        <v>36.429971696656921</v>
      </c>
      <c r="AQ14" s="30">
        <f t="shared" si="47"/>
        <v>36.794097257195034</v>
      </c>
      <c r="AR14" s="30">
        <f t="shared" si="46"/>
        <v>36.586862497372479</v>
      </c>
      <c r="AS14" s="30">
        <f t="shared" si="47"/>
        <v>37.133050838179656</v>
      </c>
      <c r="AT14" s="30">
        <f t="shared" si="46"/>
        <v>37.062182589817482</v>
      </c>
      <c r="AU14" s="30">
        <f t="shared" si="47"/>
        <v>37.244245370086531</v>
      </c>
      <c r="AV14" s="30">
        <f t="shared" si="46"/>
        <v>37.010627223985608</v>
      </c>
      <c r="AW14" s="30">
        <f t="shared" si="47"/>
        <v>37.192690004254672</v>
      </c>
      <c r="AX14" s="30">
        <f t="shared" si="46"/>
        <v>37.105330164443217</v>
      </c>
      <c r="AY14" s="30">
        <f t="shared" si="47"/>
        <v>37.651518505250394</v>
      </c>
      <c r="AZ14" s="30">
        <f t="shared" si="46"/>
        <v>37.398639738827008</v>
      </c>
      <c r="BA14" s="30">
        <f t="shared" si="47"/>
        <v>37.671733909230589</v>
      </c>
      <c r="BB14" s="30">
        <f t="shared" si="46"/>
        <v>37.567957355302539</v>
      </c>
      <c r="BC14" s="30">
        <f t="shared" si="47"/>
        <v>37.841051525706128</v>
      </c>
      <c r="BD14" s="30">
        <f t="shared" si="46"/>
        <v>37.574183698513039</v>
      </c>
      <c r="BE14" s="30">
        <f t="shared" si="47"/>
        <v>37.756246478782096</v>
      </c>
      <c r="BF14" s="30">
        <f t="shared" si="46"/>
        <v>37.637026279656872</v>
      </c>
      <c r="BG14" s="30">
        <f t="shared" si="47"/>
        <v>37.819089059925936</v>
      </c>
      <c r="BH14" s="30">
        <f t="shared" si="46"/>
        <v>37.543006372398324</v>
      </c>
      <c r="BI14" s="30">
        <f t="shared" si="47"/>
        <v>37.72506915266738</v>
      </c>
    </row>
    <row r="15" spans="2:61" x14ac:dyDescent="0.3">
      <c r="B15" s="23"/>
      <c r="C15" s="14">
        <f t="shared" si="48"/>
        <v>5.9999999999999982</v>
      </c>
      <c r="D15" s="59"/>
      <c r="E15" s="25">
        <f t="shared" si="49"/>
        <v>5.9999999999999982</v>
      </c>
      <c r="F15" s="30"/>
      <c r="G15" s="30"/>
      <c r="H15" s="30"/>
      <c r="I15" s="5">
        <v>0</v>
      </c>
      <c r="J15" s="5">
        <v>0</v>
      </c>
      <c r="K15" s="30">
        <f t="shared" si="50"/>
        <v>16.385650224215247</v>
      </c>
      <c r="L15" s="30">
        <f t="shared" si="51"/>
        <v>16.385650224215247</v>
      </c>
      <c r="M15" s="30">
        <f t="shared" si="52"/>
        <v>20.026905829596412</v>
      </c>
      <c r="N15" s="30">
        <f t="shared" si="46"/>
        <v>20.026905829596412</v>
      </c>
      <c r="O15" s="30">
        <f t="shared" si="47"/>
        <v>24.032286995515694</v>
      </c>
      <c r="P15" s="30">
        <f t="shared" si="46"/>
        <v>24.032286995515694</v>
      </c>
      <c r="Q15" s="30">
        <f t="shared" si="47"/>
        <v>25.306726457399105</v>
      </c>
      <c r="R15" s="30">
        <f t="shared" si="46"/>
        <v>25.306726457399105</v>
      </c>
      <c r="S15" s="30">
        <f t="shared" si="47"/>
        <v>26.945291479820629</v>
      </c>
      <c r="T15" s="30">
        <f t="shared" si="46"/>
        <v>26.945291479820629</v>
      </c>
      <c r="U15" s="30">
        <f t="shared" si="47"/>
        <v>28.583856502242153</v>
      </c>
      <c r="V15" s="30">
        <f t="shared" si="46"/>
        <v>28.583856502242153</v>
      </c>
      <c r="W15" s="30">
        <f t="shared" si="47"/>
        <v>30.04035874439462</v>
      </c>
      <c r="X15" s="30">
        <f t="shared" si="46"/>
        <v>30.04035874439462</v>
      </c>
      <c r="Y15" s="30">
        <f t="shared" si="47"/>
        <v>30.76860986547085</v>
      </c>
      <c r="Z15" s="30">
        <f t="shared" si="46"/>
        <v>30.76860986547085</v>
      </c>
      <c r="AA15" s="30">
        <f t="shared" si="47"/>
        <v>31.678923766816141</v>
      </c>
      <c r="AB15" s="30">
        <f t="shared" si="46"/>
        <v>31.678923766816141</v>
      </c>
      <c r="AC15" s="30">
        <f t="shared" si="47"/>
        <v>32.407174887892374</v>
      </c>
      <c r="AD15" s="30">
        <f t="shared" si="46"/>
        <v>32.390906582819504</v>
      </c>
      <c r="AE15" s="30">
        <f t="shared" si="47"/>
        <v>32.755032143357624</v>
      </c>
      <c r="AF15" s="30">
        <f t="shared" si="46"/>
        <v>32.749431579316145</v>
      </c>
      <c r="AG15" s="30">
        <f t="shared" si="47"/>
        <v>33.386651310257847</v>
      </c>
      <c r="AH15" s="30">
        <f t="shared" si="46"/>
        <v>33.342802449726733</v>
      </c>
      <c r="AI15" s="30">
        <f t="shared" si="47"/>
        <v>34.162084960937499</v>
      </c>
      <c r="AJ15" s="30">
        <f t="shared" si="46"/>
        <v>34.146350042916204</v>
      </c>
      <c r="AK15" s="30">
        <f t="shared" si="47"/>
        <v>35.420789504799608</v>
      </c>
      <c r="AL15" s="30">
        <f t="shared" si="46"/>
        <v>35.3462319959974</v>
      </c>
      <c r="AM15" s="30">
        <f t="shared" si="47"/>
        <v>36.25654589734269</v>
      </c>
      <c r="AN15" s="30">
        <f t="shared" si="46"/>
        <v>36.22685957425378</v>
      </c>
      <c r="AO15" s="30">
        <f t="shared" si="47"/>
        <v>36.773047915060964</v>
      </c>
      <c r="AP15" s="30">
        <f t="shared" si="46"/>
        <v>36.669042996120027</v>
      </c>
      <c r="AQ15" s="30">
        <f t="shared" si="47"/>
        <v>37.03316855665814</v>
      </c>
      <c r="AR15" s="30">
        <f t="shared" si="46"/>
        <v>36.987800098641571</v>
      </c>
      <c r="AS15" s="30">
        <f t="shared" si="47"/>
        <v>37.533988439448748</v>
      </c>
      <c r="AT15" s="30">
        <f t="shared" si="46"/>
        <v>37.403951732139419</v>
      </c>
      <c r="AU15" s="30">
        <f t="shared" si="47"/>
        <v>37.586014512408468</v>
      </c>
      <c r="AV15" s="30">
        <f t="shared" si="46"/>
        <v>37.524593048779948</v>
      </c>
      <c r="AW15" s="30">
        <f t="shared" si="47"/>
        <v>37.706655829049012</v>
      </c>
      <c r="AX15" s="30">
        <f t="shared" si="46"/>
        <v>37.555545384787656</v>
      </c>
      <c r="AY15" s="30">
        <f t="shared" si="47"/>
        <v>38.101733725594833</v>
      </c>
      <c r="AZ15" s="30">
        <f t="shared" si="46"/>
        <v>38.025044578500932</v>
      </c>
      <c r="BA15" s="30">
        <f t="shared" si="47"/>
        <v>38.298138748904513</v>
      </c>
      <c r="BB15" s="30">
        <f t="shared" si="46"/>
        <v>38.130533826618446</v>
      </c>
      <c r="BC15" s="30">
        <f t="shared" si="47"/>
        <v>38.403627997022035</v>
      </c>
      <c r="BD15" s="30">
        <f t="shared" si="46"/>
        <v>38.311716201380229</v>
      </c>
      <c r="BE15" s="30">
        <f t="shared" si="47"/>
        <v>38.493778981649285</v>
      </c>
      <c r="BF15" s="30">
        <f t="shared" si="46"/>
        <v>38.313062213675316</v>
      </c>
      <c r="BG15" s="30">
        <f t="shared" si="47"/>
        <v>38.49512499394438</v>
      </c>
      <c r="BH15" s="30">
        <f t="shared" si="46"/>
        <v>38.388607484717014</v>
      </c>
      <c r="BI15" s="30">
        <f t="shared" si="47"/>
        <v>38.57067026498607</v>
      </c>
    </row>
    <row r="16" spans="2:61" x14ac:dyDescent="0.3">
      <c r="B16" s="23"/>
      <c r="C16" s="14">
        <f t="shared" si="48"/>
        <v>5.799999999999998</v>
      </c>
      <c r="D16" s="59"/>
      <c r="E16" s="25">
        <f t="shared" si="49"/>
        <v>5.799999999999998</v>
      </c>
      <c r="F16" s="30"/>
      <c r="G16" s="30"/>
      <c r="H16" s="30"/>
      <c r="I16" s="5">
        <v>0</v>
      </c>
      <c r="J16" s="5">
        <v>0</v>
      </c>
      <c r="K16" s="30">
        <f t="shared" si="50"/>
        <v>16.385650224215247</v>
      </c>
      <c r="L16" s="30">
        <f t="shared" si="51"/>
        <v>16.385650224215247</v>
      </c>
      <c r="M16" s="30">
        <f t="shared" si="52"/>
        <v>20.026905829596412</v>
      </c>
      <c r="N16" s="30">
        <f t="shared" si="46"/>
        <v>20.026905829596412</v>
      </c>
      <c r="O16" s="30">
        <f t="shared" si="47"/>
        <v>24.032286995515694</v>
      </c>
      <c r="P16" s="30">
        <f t="shared" si="46"/>
        <v>24.032286995515694</v>
      </c>
      <c r="Q16" s="30">
        <f t="shared" si="47"/>
        <v>25.306726457399105</v>
      </c>
      <c r="R16" s="30">
        <f t="shared" si="46"/>
        <v>25.306726457399105</v>
      </c>
      <c r="S16" s="30">
        <f t="shared" si="47"/>
        <v>26.945291479820629</v>
      </c>
      <c r="T16" s="30">
        <f t="shared" si="46"/>
        <v>26.945291479820629</v>
      </c>
      <c r="U16" s="30">
        <f t="shared" si="47"/>
        <v>28.583856502242153</v>
      </c>
      <c r="V16" s="30">
        <f t="shared" si="46"/>
        <v>28.583856502242153</v>
      </c>
      <c r="W16" s="30">
        <f t="shared" si="47"/>
        <v>30.04035874439462</v>
      </c>
      <c r="X16" s="30">
        <f t="shared" si="46"/>
        <v>30.04035874439462</v>
      </c>
      <c r="Y16" s="30">
        <f t="shared" si="47"/>
        <v>30.76860986547085</v>
      </c>
      <c r="Z16" s="30">
        <f t="shared" si="46"/>
        <v>30.76860986547085</v>
      </c>
      <c r="AA16" s="30">
        <f t="shared" si="47"/>
        <v>31.678923766816141</v>
      </c>
      <c r="AB16" s="30">
        <f t="shared" si="46"/>
        <v>31.678390379764572</v>
      </c>
      <c r="AC16" s="30">
        <f t="shared" si="47"/>
        <v>32.406641500840806</v>
      </c>
      <c r="AD16" s="30">
        <f t="shared" si="46"/>
        <v>32.402552200112105</v>
      </c>
      <c r="AE16" s="30">
        <f t="shared" si="47"/>
        <v>32.766677760650225</v>
      </c>
      <c r="AF16" s="30">
        <f t="shared" si="46"/>
        <v>32.758943648402465</v>
      </c>
      <c r="AG16" s="30">
        <f t="shared" si="47"/>
        <v>33.396163379344166</v>
      </c>
      <c r="AH16" s="30">
        <f t="shared" si="46"/>
        <v>33.384206619604825</v>
      </c>
      <c r="AI16" s="30">
        <f t="shared" si="47"/>
        <v>34.203489130815591</v>
      </c>
      <c r="AJ16" s="30">
        <f t="shared" si="46"/>
        <v>34.183187086165219</v>
      </c>
      <c r="AK16" s="30">
        <f t="shared" si="47"/>
        <v>35.457626548048623</v>
      </c>
      <c r="AL16" s="30">
        <f t="shared" si="46"/>
        <v>35.434113068858608</v>
      </c>
      <c r="AM16" s="30">
        <f t="shared" si="47"/>
        <v>36.344426970203898</v>
      </c>
      <c r="AN16" s="30">
        <f t="shared" si="46"/>
        <v>36.308473349259032</v>
      </c>
      <c r="AO16" s="30">
        <f t="shared" si="47"/>
        <v>36.854661690066216</v>
      </c>
      <c r="AP16" s="30">
        <f t="shared" si="46"/>
        <v>36.817377379550003</v>
      </c>
      <c r="AQ16" s="30">
        <f t="shared" si="47"/>
        <v>37.181502940088116</v>
      </c>
      <c r="AR16" s="30">
        <f t="shared" si="46"/>
        <v>37.128664285292004</v>
      </c>
      <c r="AS16" s="30">
        <f t="shared" si="47"/>
        <v>37.674852626099181</v>
      </c>
      <c r="AT16" s="30">
        <f t="shared" si="46"/>
        <v>37.622877947204323</v>
      </c>
      <c r="AU16" s="30">
        <f t="shared" si="47"/>
        <v>37.804940727473372</v>
      </c>
      <c r="AV16" s="30">
        <f t="shared" si="46"/>
        <v>37.736337985051577</v>
      </c>
      <c r="AW16" s="30">
        <f t="shared" si="47"/>
        <v>37.918400765320641</v>
      </c>
      <c r="AX16" s="30">
        <f t="shared" si="46"/>
        <v>37.852382310944293</v>
      </c>
      <c r="AY16" s="30">
        <f t="shared" si="47"/>
        <v>38.39857065175147</v>
      </c>
      <c r="AZ16" s="30">
        <f t="shared" si="46"/>
        <v>38.316239573602715</v>
      </c>
      <c r="BA16" s="30">
        <f t="shared" si="47"/>
        <v>38.589333744006296</v>
      </c>
      <c r="BB16" s="30">
        <f t="shared" si="46"/>
        <v>38.509286706650741</v>
      </c>
      <c r="BC16" s="30">
        <f t="shared" si="47"/>
        <v>38.782380877054329</v>
      </c>
      <c r="BD16" s="30">
        <f t="shared" si="46"/>
        <v>38.68781516829948</v>
      </c>
      <c r="BE16" s="30">
        <f t="shared" si="47"/>
        <v>38.869877948568536</v>
      </c>
      <c r="BF16" s="30">
        <f t="shared" si="46"/>
        <v>38.77606312923902</v>
      </c>
      <c r="BG16" s="30">
        <f t="shared" si="47"/>
        <v>38.958125909508084</v>
      </c>
      <c r="BH16" s="30">
        <f t="shared" si="46"/>
        <v>38.852761660416029</v>
      </c>
      <c r="BI16" s="30">
        <f t="shared" si="47"/>
        <v>39.034824440685085</v>
      </c>
    </row>
    <row r="17" spans="2:61" x14ac:dyDescent="0.3">
      <c r="B17" s="23"/>
      <c r="C17" s="14">
        <f t="shared" si="48"/>
        <v>5.5999999999999979</v>
      </c>
      <c r="D17" s="59"/>
      <c r="E17" s="25">
        <f t="shared" si="49"/>
        <v>5.5999999999999979</v>
      </c>
      <c r="F17" s="30"/>
      <c r="G17" s="30"/>
      <c r="H17" s="30"/>
      <c r="I17" s="5">
        <v>0</v>
      </c>
      <c r="J17" s="5">
        <v>0</v>
      </c>
      <c r="K17" s="30">
        <f t="shared" si="50"/>
        <v>16.385650224215247</v>
      </c>
      <c r="L17" s="30">
        <f t="shared" si="51"/>
        <v>16.385650224215247</v>
      </c>
      <c r="M17" s="30">
        <f t="shared" si="52"/>
        <v>20.026905829596412</v>
      </c>
      <c r="N17" s="30">
        <f t="shared" si="46"/>
        <v>20.026905829596412</v>
      </c>
      <c r="O17" s="30">
        <f t="shared" si="47"/>
        <v>24.032286995515694</v>
      </c>
      <c r="P17" s="30">
        <f t="shared" si="46"/>
        <v>24.032286995515694</v>
      </c>
      <c r="Q17" s="30">
        <f t="shared" si="47"/>
        <v>25.306726457399105</v>
      </c>
      <c r="R17" s="30">
        <f t="shared" si="46"/>
        <v>25.306726457399105</v>
      </c>
      <c r="S17" s="30">
        <f t="shared" si="47"/>
        <v>26.945291479820629</v>
      </c>
      <c r="T17" s="30">
        <f t="shared" si="46"/>
        <v>26.945291479820629</v>
      </c>
      <c r="U17" s="30">
        <f t="shared" si="47"/>
        <v>28.583856502242153</v>
      </c>
      <c r="V17" s="30">
        <f t="shared" si="46"/>
        <v>28.583856502242153</v>
      </c>
      <c r="W17" s="30">
        <f t="shared" si="47"/>
        <v>30.04035874439462</v>
      </c>
      <c r="X17" s="30">
        <f t="shared" si="46"/>
        <v>30.04035874439462</v>
      </c>
      <c r="Y17" s="30">
        <f t="shared" si="47"/>
        <v>30.76860986547085</v>
      </c>
      <c r="Z17" s="30">
        <f t="shared" si="46"/>
        <v>30.767543091367713</v>
      </c>
      <c r="AA17" s="30">
        <f t="shared" si="47"/>
        <v>31.677856992713004</v>
      </c>
      <c r="AB17" s="30">
        <f t="shared" si="46"/>
        <v>31.669678391255601</v>
      </c>
      <c r="AC17" s="30">
        <f t="shared" si="47"/>
        <v>32.397929512331835</v>
      </c>
      <c r="AD17" s="30">
        <f t="shared" si="46"/>
        <v>32.398729592909191</v>
      </c>
      <c r="AE17" s="30">
        <f t="shared" si="47"/>
        <v>32.762855153447312</v>
      </c>
      <c r="AF17" s="30">
        <f t="shared" si="46"/>
        <v>32.744542198010095</v>
      </c>
      <c r="AG17" s="30">
        <f t="shared" si="47"/>
        <v>33.381761928951796</v>
      </c>
      <c r="AH17" s="30">
        <f t="shared" si="46"/>
        <v>33.385006700182174</v>
      </c>
      <c r="AI17" s="30">
        <f t="shared" si="47"/>
        <v>34.20428921139294</v>
      </c>
      <c r="AJ17" s="30">
        <f t="shared" si="46"/>
        <v>34.172997171034197</v>
      </c>
      <c r="AK17" s="30">
        <f t="shared" si="47"/>
        <v>35.447436632917601</v>
      </c>
      <c r="AL17" s="30">
        <f t="shared" si="46"/>
        <v>35.450086899830083</v>
      </c>
      <c r="AM17" s="30">
        <f t="shared" si="47"/>
        <v>36.360400801175373</v>
      </c>
      <c r="AN17" s="30">
        <f t="shared" si="46"/>
        <v>36.315518503231857</v>
      </c>
      <c r="AO17" s="30">
        <f t="shared" si="47"/>
        <v>36.861706844039041</v>
      </c>
      <c r="AP17" s="30">
        <f t="shared" si="46"/>
        <v>36.860034453387755</v>
      </c>
      <c r="AQ17" s="30">
        <f t="shared" si="47"/>
        <v>37.224160013925868</v>
      </c>
      <c r="AR17" s="30">
        <f t="shared" si="46"/>
        <v>37.16557911415272</v>
      </c>
      <c r="AS17" s="30">
        <f t="shared" si="47"/>
        <v>37.711767454959897</v>
      </c>
      <c r="AT17" s="30">
        <f t="shared" si="46"/>
        <v>37.704598677425643</v>
      </c>
      <c r="AU17" s="30">
        <f t="shared" si="47"/>
        <v>37.886661457694693</v>
      </c>
      <c r="AV17" s="30">
        <f t="shared" si="46"/>
        <v>37.81604601257051</v>
      </c>
      <c r="AW17" s="30">
        <f t="shared" si="47"/>
        <v>37.998108792839574</v>
      </c>
      <c r="AX17" s="30">
        <f t="shared" si="46"/>
        <v>37.984557080803427</v>
      </c>
      <c r="AY17" s="30">
        <f t="shared" si="47"/>
        <v>38.530745421610604</v>
      </c>
      <c r="AZ17" s="30">
        <f t="shared" si="46"/>
        <v>38.44734049399338</v>
      </c>
      <c r="BA17" s="30">
        <f t="shared" si="47"/>
        <v>38.720434664396961</v>
      </c>
      <c r="BB17" s="30">
        <f t="shared" si="46"/>
        <v>38.698908169173329</v>
      </c>
      <c r="BC17" s="30">
        <f t="shared" si="47"/>
        <v>38.972002339576918</v>
      </c>
      <c r="BD17" s="30">
        <f t="shared" si="46"/>
        <v>38.876284496559691</v>
      </c>
      <c r="BE17" s="30">
        <f t="shared" si="47"/>
        <v>39.058347276828748</v>
      </c>
      <c r="BF17" s="30">
        <f t="shared" si="46"/>
        <v>39.028335546618614</v>
      </c>
      <c r="BG17" s="30">
        <f t="shared" si="47"/>
        <v>39.210398326887677</v>
      </c>
      <c r="BH17" s="30">
        <f t="shared" si="46"/>
        <v>39.10237042113404</v>
      </c>
      <c r="BI17" s="30">
        <f t="shared" si="47"/>
        <v>39.284433201403097</v>
      </c>
    </row>
    <row r="18" spans="2:61" x14ac:dyDescent="0.3">
      <c r="B18" s="23"/>
      <c r="C18" s="14">
        <f t="shared" si="48"/>
        <v>5.3999999999999977</v>
      </c>
      <c r="D18" s="59"/>
      <c r="E18" s="25">
        <f t="shared" si="49"/>
        <v>5.3999999999999977</v>
      </c>
      <c r="F18" s="30"/>
      <c r="G18" s="30"/>
      <c r="H18" s="30"/>
      <c r="I18" s="5">
        <v>0</v>
      </c>
      <c r="J18" s="5">
        <v>0</v>
      </c>
      <c r="K18" s="30">
        <f t="shared" si="50"/>
        <v>16.385650224215247</v>
      </c>
      <c r="L18" s="30">
        <f t="shared" si="51"/>
        <v>16.385650224215247</v>
      </c>
      <c r="M18" s="30">
        <f t="shared" si="52"/>
        <v>20.026905829596412</v>
      </c>
      <c r="N18" s="30">
        <f t="shared" si="46"/>
        <v>20.026905829596412</v>
      </c>
      <c r="O18" s="30">
        <f t="shared" si="47"/>
        <v>24.032286995515694</v>
      </c>
      <c r="P18" s="30">
        <f t="shared" si="46"/>
        <v>24.032286995515694</v>
      </c>
      <c r="Q18" s="30">
        <f t="shared" si="47"/>
        <v>25.306726457399105</v>
      </c>
      <c r="R18" s="30">
        <f t="shared" si="46"/>
        <v>25.306726457399105</v>
      </c>
      <c r="S18" s="30">
        <f t="shared" si="47"/>
        <v>26.945291479820629</v>
      </c>
      <c r="T18" s="30">
        <f t="shared" si="46"/>
        <v>26.945291479820629</v>
      </c>
      <c r="U18" s="30">
        <f t="shared" si="47"/>
        <v>28.583856502242153</v>
      </c>
      <c r="V18" s="30">
        <f t="shared" si="46"/>
        <v>28.583856502242153</v>
      </c>
      <c r="W18" s="30">
        <f t="shared" si="47"/>
        <v>30.04035874439462</v>
      </c>
      <c r="X18" s="30">
        <f t="shared" si="46"/>
        <v>30.038225196188343</v>
      </c>
      <c r="Y18" s="30">
        <f t="shared" si="47"/>
        <v>30.766476317264573</v>
      </c>
      <c r="Z18" s="30">
        <f t="shared" si="46"/>
        <v>30.750119114349772</v>
      </c>
      <c r="AA18" s="30">
        <f t="shared" si="47"/>
        <v>31.660433015695062</v>
      </c>
      <c r="AB18" s="30">
        <f t="shared" si="46"/>
        <v>31.662566563901343</v>
      </c>
      <c r="AC18" s="30">
        <f t="shared" si="47"/>
        <v>32.390817684977577</v>
      </c>
      <c r="AD18" s="30">
        <f t="shared" si="46"/>
        <v>32.358281074831837</v>
      </c>
      <c r="AE18" s="30">
        <f t="shared" si="47"/>
        <v>32.722406635369957</v>
      </c>
      <c r="AF18" s="30">
        <f t="shared" si="46"/>
        <v>32.73663029007848</v>
      </c>
      <c r="AG18" s="30">
        <f t="shared" si="47"/>
        <v>33.373850021020182</v>
      </c>
      <c r="AH18" s="30">
        <f t="shared" si="46"/>
        <v>33.323222700042038</v>
      </c>
      <c r="AI18" s="30">
        <f t="shared" si="47"/>
        <v>34.142505211252804</v>
      </c>
      <c r="AJ18" s="30">
        <f t="shared" si="46"/>
        <v>34.16810778972814</v>
      </c>
      <c r="AK18" s="30">
        <f t="shared" si="47"/>
        <v>35.442547251611543</v>
      </c>
      <c r="AL18" s="30">
        <f t="shared" si="46"/>
        <v>35.376296134914519</v>
      </c>
      <c r="AM18" s="30">
        <f t="shared" si="47"/>
        <v>36.286610036259809</v>
      </c>
      <c r="AN18" s="30">
        <f t="shared" si="46"/>
        <v>36.319218875902109</v>
      </c>
      <c r="AO18" s="30">
        <f t="shared" si="47"/>
        <v>36.865407216709293</v>
      </c>
      <c r="AP18" s="30">
        <f t="shared" si="46"/>
        <v>36.785529727679204</v>
      </c>
      <c r="AQ18" s="30">
        <f t="shared" si="47"/>
        <v>37.149655288217318</v>
      </c>
      <c r="AR18" s="30">
        <f t="shared" si="46"/>
        <v>37.188156387944929</v>
      </c>
      <c r="AS18" s="30">
        <f t="shared" si="47"/>
        <v>37.734344728752106</v>
      </c>
      <c r="AT18" s="30">
        <f t="shared" si="46"/>
        <v>37.645088517398591</v>
      </c>
      <c r="AU18" s="30">
        <f t="shared" si="47"/>
        <v>37.827151297667641</v>
      </c>
      <c r="AV18" s="30">
        <f t="shared" si="46"/>
        <v>37.868650616017149</v>
      </c>
      <c r="AW18" s="30">
        <f t="shared" si="47"/>
        <v>38.050713396286213</v>
      </c>
      <c r="AX18" s="30">
        <f t="shared" si="46"/>
        <v>37.94992199542812</v>
      </c>
      <c r="AY18" s="30">
        <f t="shared" si="47"/>
        <v>38.496110336235297</v>
      </c>
      <c r="AZ18" s="30">
        <f t="shared" si="46"/>
        <v>38.53538842393678</v>
      </c>
      <c r="BA18" s="30">
        <f t="shared" si="47"/>
        <v>38.808482594340362</v>
      </c>
      <c r="BB18" s="30">
        <f t="shared" si="46"/>
        <v>38.697093945661472</v>
      </c>
      <c r="BC18" s="30">
        <f t="shared" si="47"/>
        <v>38.97018811606506</v>
      </c>
      <c r="BD18" s="30">
        <f t="shared" si="46"/>
        <v>39.004730364399634</v>
      </c>
      <c r="BE18" s="30">
        <f t="shared" si="47"/>
        <v>39.186793144668691</v>
      </c>
      <c r="BF18" s="30">
        <f t="shared" si="46"/>
        <v>39.06455215249094</v>
      </c>
      <c r="BG18" s="30">
        <f t="shared" si="47"/>
        <v>39.246614932760004</v>
      </c>
      <c r="BH18" s="30">
        <f t="shared" si="46"/>
        <v>39.277090435805874</v>
      </c>
      <c r="BI18" s="30">
        <f t="shared" si="47"/>
        <v>39.459153216074931</v>
      </c>
    </row>
    <row r="19" spans="2:61" x14ac:dyDescent="0.3">
      <c r="B19" s="23"/>
      <c r="C19" s="14">
        <f t="shared" si="48"/>
        <v>5.1999999999999975</v>
      </c>
      <c r="D19" s="59"/>
      <c r="E19" s="25">
        <f t="shared" si="49"/>
        <v>5.1999999999999975</v>
      </c>
      <c r="F19" s="30"/>
      <c r="G19" s="30"/>
      <c r="H19" s="30"/>
      <c r="I19" s="5">
        <v>0</v>
      </c>
      <c r="J19" s="5">
        <v>0</v>
      </c>
      <c r="K19" s="30">
        <f t="shared" si="50"/>
        <v>16.385650224215247</v>
      </c>
      <c r="L19" s="30">
        <f t="shared" si="51"/>
        <v>16.385650224215247</v>
      </c>
      <c r="M19" s="30">
        <f t="shared" si="52"/>
        <v>20.026905829596412</v>
      </c>
      <c r="N19" s="30">
        <f t="shared" si="46"/>
        <v>20.026905829596412</v>
      </c>
      <c r="O19" s="30">
        <f t="shared" si="47"/>
        <v>24.032286995515694</v>
      </c>
      <c r="P19" s="30">
        <f t="shared" si="46"/>
        <v>24.032286995515694</v>
      </c>
      <c r="Q19" s="30">
        <f t="shared" si="47"/>
        <v>25.306726457399105</v>
      </c>
      <c r="R19" s="30">
        <f t="shared" si="46"/>
        <v>25.306726457399105</v>
      </c>
      <c r="S19" s="30">
        <f t="shared" si="47"/>
        <v>26.945291479820629</v>
      </c>
      <c r="T19" s="30">
        <f t="shared" si="46"/>
        <v>26.945291479820629</v>
      </c>
      <c r="U19" s="30">
        <f t="shared" si="47"/>
        <v>28.583856502242153</v>
      </c>
      <c r="V19" s="30">
        <f t="shared" si="46"/>
        <v>28.579589405829594</v>
      </c>
      <c r="W19" s="30">
        <f t="shared" si="47"/>
        <v>30.036091647982062</v>
      </c>
      <c r="X19" s="30">
        <f t="shared" si="46"/>
        <v>30.003377242152467</v>
      </c>
      <c r="Y19" s="30">
        <f t="shared" si="47"/>
        <v>30.731628363228698</v>
      </c>
      <c r="Z19" s="30">
        <f t="shared" si="46"/>
        <v>30.736962233744393</v>
      </c>
      <c r="AA19" s="30">
        <f t="shared" si="47"/>
        <v>31.647276135089683</v>
      </c>
      <c r="AB19" s="30">
        <f t="shared" si="46"/>
        <v>31.590381516255604</v>
      </c>
      <c r="AC19" s="30">
        <f t="shared" si="47"/>
        <v>32.318632637331838</v>
      </c>
      <c r="AD19" s="30">
        <f t="shared" si="46"/>
        <v>32.346279866171521</v>
      </c>
      <c r="AE19" s="30">
        <f t="shared" si="47"/>
        <v>32.710405426709642</v>
      </c>
      <c r="AF19" s="30">
        <f t="shared" si="46"/>
        <v>32.627463740190585</v>
      </c>
      <c r="AG19" s="30">
        <f t="shared" si="47"/>
        <v>33.264683471132287</v>
      </c>
      <c r="AH19" s="30">
        <f t="shared" si="46"/>
        <v>33.312643856852581</v>
      </c>
      <c r="AI19" s="30">
        <f t="shared" si="47"/>
        <v>34.131926368063347</v>
      </c>
      <c r="AJ19" s="30">
        <f t="shared" si="46"/>
        <v>34.030716175028033</v>
      </c>
      <c r="AK19" s="30">
        <f t="shared" si="47"/>
        <v>35.305155636911437</v>
      </c>
      <c r="AL19" s="30">
        <f t="shared" ref="AL19:AZ34" si="53">(AK20+AK18)/2</f>
        <v>35.367723049283562</v>
      </c>
      <c r="AM19" s="30">
        <f t="shared" ref="AM19:BA25" si="54">AL19+AM$4</f>
        <v>36.278036950628852</v>
      </c>
      <c r="AN19" s="30">
        <f t="shared" si="53"/>
        <v>36.163164270512191</v>
      </c>
      <c r="AO19" s="30">
        <f t="shared" si="54"/>
        <v>36.709352611319375</v>
      </c>
      <c r="AP19" s="30">
        <f t="shared" si="53"/>
        <v>36.788027201425876</v>
      </c>
      <c r="AQ19" s="30">
        <f t="shared" si="54"/>
        <v>37.15215276196399</v>
      </c>
      <c r="AR19" s="30">
        <f t="shared" si="53"/>
        <v>37.0322212390301</v>
      </c>
      <c r="AS19" s="30">
        <f t="shared" si="54"/>
        <v>37.578409579837277</v>
      </c>
      <c r="AT19" s="30">
        <f t="shared" si="53"/>
        <v>37.668576994070563</v>
      </c>
      <c r="AU19" s="30">
        <f t="shared" si="54"/>
        <v>37.850639774339612</v>
      </c>
      <c r="AV19" s="30">
        <f t="shared" si="53"/>
        <v>37.719672417747603</v>
      </c>
      <c r="AW19" s="30">
        <f t="shared" si="54"/>
        <v>37.901735198016667</v>
      </c>
      <c r="AX19" s="30">
        <f t="shared" si="53"/>
        <v>37.993843085455786</v>
      </c>
      <c r="AY19" s="30">
        <f t="shared" si="54"/>
        <v>38.540031426262964</v>
      </c>
      <c r="AZ19" s="30">
        <f t="shared" si="53"/>
        <v>38.4006590565224</v>
      </c>
      <c r="BA19" s="30">
        <f t="shared" si="54"/>
        <v>38.673753226925982</v>
      </c>
      <c r="BB19" s="30">
        <f t="shared" ref="BB19:BH34" si="55">(BA20+BA18)/2</f>
        <v>38.764364218818763</v>
      </c>
      <c r="BC19" s="30">
        <f t="shared" ref="BC19:BI25" si="56">BB19+BC$4</f>
        <v>39.037458389222351</v>
      </c>
      <c r="BD19" s="30">
        <f t="shared" si="55"/>
        <v>38.888694247884075</v>
      </c>
      <c r="BE19" s="30">
        <f t="shared" si="56"/>
        <v>39.070757028153132</v>
      </c>
      <c r="BF19" s="30">
        <f t="shared" si="55"/>
        <v>39.161719764455015</v>
      </c>
      <c r="BG19" s="30">
        <f t="shared" si="56"/>
        <v>39.343782544724078</v>
      </c>
      <c r="BH19" s="30">
        <f t="shared" si="55"/>
        <v>39.188867907386467</v>
      </c>
      <c r="BI19" s="30">
        <f t="shared" si="56"/>
        <v>39.370930687655523</v>
      </c>
    </row>
    <row r="20" spans="2:61" x14ac:dyDescent="0.3">
      <c r="B20" s="23"/>
      <c r="C20" s="14">
        <f t="shared" si="48"/>
        <v>4.9999999999999973</v>
      </c>
      <c r="D20" s="59"/>
      <c r="E20" s="25">
        <f t="shared" si="49"/>
        <v>4.9999999999999973</v>
      </c>
      <c r="F20" s="30"/>
      <c r="G20" s="30"/>
      <c r="H20" s="30"/>
      <c r="I20" s="5">
        <v>0</v>
      </c>
      <c r="J20" s="5">
        <v>0</v>
      </c>
      <c r="K20" s="30">
        <f t="shared" si="50"/>
        <v>16.385650224215247</v>
      </c>
      <c r="L20" s="30">
        <f t="shared" si="51"/>
        <v>16.385650224215247</v>
      </c>
      <c r="M20" s="30">
        <f t="shared" si="52"/>
        <v>20.026905829596412</v>
      </c>
      <c r="N20" s="30">
        <f t="shared" ref="N20:AB35" si="57">(M21+M19)/2</f>
        <v>20.026905829596412</v>
      </c>
      <c r="O20" s="30">
        <f t="shared" ref="O20:AC26" si="58">N20+O$4</f>
        <v>24.032286995515694</v>
      </c>
      <c r="P20" s="30">
        <f t="shared" si="57"/>
        <v>24.032286995515694</v>
      </c>
      <c r="Q20" s="30">
        <f t="shared" si="58"/>
        <v>25.306726457399105</v>
      </c>
      <c r="R20" s="30">
        <f t="shared" si="57"/>
        <v>25.306726457399105</v>
      </c>
      <c r="S20" s="30">
        <f t="shared" si="58"/>
        <v>26.945291479820629</v>
      </c>
      <c r="T20" s="30">
        <f t="shared" si="57"/>
        <v>26.936757286995515</v>
      </c>
      <c r="U20" s="30">
        <f t="shared" si="58"/>
        <v>28.575322309417039</v>
      </c>
      <c r="V20" s="30">
        <f t="shared" si="57"/>
        <v>28.509893497757851</v>
      </c>
      <c r="W20" s="30">
        <f t="shared" si="58"/>
        <v>29.966395739910318</v>
      </c>
      <c r="X20" s="30">
        <f t="shared" si="57"/>
        <v>29.979197029147983</v>
      </c>
      <c r="Y20" s="30">
        <f t="shared" si="58"/>
        <v>30.707448150224213</v>
      </c>
      <c r="Z20" s="30">
        <f t="shared" si="57"/>
        <v>30.610016115470852</v>
      </c>
      <c r="AA20" s="30">
        <f t="shared" si="58"/>
        <v>31.520330016816143</v>
      </c>
      <c r="AB20" s="30">
        <f t="shared" si="57"/>
        <v>31.573490926289235</v>
      </c>
      <c r="AC20" s="30">
        <f t="shared" si="58"/>
        <v>32.301742047365465</v>
      </c>
      <c r="AD20" s="30">
        <f t="shared" ref="AD20:AR35" si="59">(AC21+AC19)/2</f>
        <v>32.168395284473092</v>
      </c>
      <c r="AE20" s="30">
        <f t="shared" ref="AE20:AS26" si="60">AD20+AE$4</f>
        <v>32.532520845011213</v>
      </c>
      <c r="AF20" s="30">
        <f t="shared" si="59"/>
        <v>32.614217961743279</v>
      </c>
      <c r="AG20" s="30">
        <f t="shared" si="60"/>
        <v>33.251437692684981</v>
      </c>
      <c r="AH20" s="30">
        <f t="shared" si="59"/>
        <v>33.09964462759249</v>
      </c>
      <c r="AI20" s="30">
        <f t="shared" si="60"/>
        <v>33.918927138803255</v>
      </c>
      <c r="AJ20" s="30">
        <f t="shared" si="59"/>
        <v>34.018459385072177</v>
      </c>
      <c r="AK20" s="30">
        <f t="shared" si="60"/>
        <v>35.29289884695558</v>
      </c>
      <c r="AL20" s="30">
        <f t="shared" si="59"/>
        <v>35.129404603419282</v>
      </c>
      <c r="AM20" s="30">
        <f t="shared" si="60"/>
        <v>36.039718504764572</v>
      </c>
      <c r="AN20" s="30">
        <f t="shared" si="59"/>
        <v>36.164458845335275</v>
      </c>
      <c r="AO20" s="30">
        <f t="shared" si="60"/>
        <v>36.710647186142459</v>
      </c>
      <c r="AP20" s="30">
        <f t="shared" si="59"/>
        <v>36.55066162930477</v>
      </c>
      <c r="AQ20" s="30">
        <f t="shared" si="60"/>
        <v>36.914787189842883</v>
      </c>
      <c r="AR20" s="30">
        <f t="shared" si="59"/>
        <v>37.056620918581842</v>
      </c>
      <c r="AS20" s="30">
        <f t="shared" si="60"/>
        <v>37.602809259389019</v>
      </c>
      <c r="AT20" s="30">
        <f t="shared" si="53"/>
        <v>37.430130757558516</v>
      </c>
      <c r="AU20" s="30">
        <f t="shared" si="54"/>
        <v>37.612193537827565</v>
      </c>
      <c r="AV20" s="30">
        <f t="shared" si="53"/>
        <v>37.754909994356296</v>
      </c>
      <c r="AW20" s="30">
        <f t="shared" si="54"/>
        <v>37.93697277462536</v>
      </c>
      <c r="AX20" s="30">
        <f t="shared" si="53"/>
        <v>37.759019436002319</v>
      </c>
      <c r="AY20" s="30">
        <f t="shared" si="54"/>
        <v>38.305207776809496</v>
      </c>
      <c r="AZ20" s="30">
        <f t="shared" si="53"/>
        <v>38.447151672893582</v>
      </c>
      <c r="BA20" s="30">
        <f t="shared" si="54"/>
        <v>38.720245843297164</v>
      </c>
      <c r="BB20" s="30">
        <f t="shared" si="55"/>
        <v>38.534106209299495</v>
      </c>
      <c r="BC20" s="30">
        <f t="shared" si="56"/>
        <v>38.807200379703083</v>
      </c>
      <c r="BD20" s="30">
        <f t="shared" si="55"/>
        <v>38.954583603972274</v>
      </c>
      <c r="BE20" s="30">
        <f t="shared" si="56"/>
        <v>39.136646384241331</v>
      </c>
      <c r="BF20" s="30">
        <f t="shared" si="55"/>
        <v>38.949058101743866</v>
      </c>
      <c r="BG20" s="30">
        <f t="shared" si="56"/>
        <v>39.131120882012929</v>
      </c>
      <c r="BH20" s="30">
        <f t="shared" si="55"/>
        <v>39.274077268846902</v>
      </c>
      <c r="BI20" s="30">
        <f t="shared" si="56"/>
        <v>39.456140049115959</v>
      </c>
    </row>
    <row r="21" spans="2:61" x14ac:dyDescent="0.3">
      <c r="B21" s="23"/>
      <c r="C21" s="14">
        <f t="shared" si="48"/>
        <v>4.7999999999999972</v>
      </c>
      <c r="D21" s="59"/>
      <c r="E21" s="25">
        <f t="shared" si="49"/>
        <v>4.7999999999999972</v>
      </c>
      <c r="F21" s="30"/>
      <c r="G21" s="30"/>
      <c r="H21" s="30"/>
      <c r="I21" s="5">
        <v>0</v>
      </c>
      <c r="J21" s="5">
        <v>0</v>
      </c>
      <c r="K21" s="30">
        <f>$K$4+J21</f>
        <v>16.385650224215247</v>
      </c>
      <c r="L21" s="30">
        <f t="shared" si="51"/>
        <v>16.385650224215247</v>
      </c>
      <c r="M21" s="30">
        <f t="shared" si="52"/>
        <v>20.026905829596412</v>
      </c>
      <c r="N21" s="30">
        <f t="shared" si="57"/>
        <v>20.026905829596412</v>
      </c>
      <c r="O21" s="30">
        <f t="shared" si="58"/>
        <v>24.032286995515694</v>
      </c>
      <c r="P21" s="30">
        <f t="shared" si="57"/>
        <v>24.032286995515694</v>
      </c>
      <c r="Q21" s="30">
        <f t="shared" si="58"/>
        <v>25.306726457399105</v>
      </c>
      <c r="R21" s="30">
        <f t="shared" si="57"/>
        <v>25.289658071748882</v>
      </c>
      <c r="S21" s="30">
        <f t="shared" si="58"/>
        <v>26.928223094170406</v>
      </c>
      <c r="T21" s="30">
        <f t="shared" si="57"/>
        <v>26.797365470852021</v>
      </c>
      <c r="U21" s="30">
        <f t="shared" si="58"/>
        <v>28.435930493273545</v>
      </c>
      <c r="V21" s="30">
        <f t="shared" si="57"/>
        <v>28.465800168161437</v>
      </c>
      <c r="W21" s="30">
        <f t="shared" si="58"/>
        <v>29.922302410313904</v>
      </c>
      <c r="X21" s="30">
        <f t="shared" si="57"/>
        <v>29.760152746636777</v>
      </c>
      <c r="Y21" s="30">
        <f t="shared" si="58"/>
        <v>30.488403867713007</v>
      </c>
      <c r="Z21" s="30">
        <f t="shared" si="57"/>
        <v>30.589391816143497</v>
      </c>
      <c r="AA21" s="30">
        <f t="shared" si="58"/>
        <v>31.499705717488787</v>
      </c>
      <c r="AB21" s="30">
        <f t="shared" si="57"/>
        <v>31.289906810538117</v>
      </c>
      <c r="AC21" s="30">
        <f t="shared" si="58"/>
        <v>32.018157931614354</v>
      </c>
      <c r="AD21" s="30">
        <f t="shared" si="59"/>
        <v>32.153904936238789</v>
      </c>
      <c r="AE21" s="30">
        <f t="shared" si="60"/>
        <v>32.518030496776909</v>
      </c>
      <c r="AF21" s="30">
        <f t="shared" si="59"/>
        <v>32.297386053110991</v>
      </c>
      <c r="AG21" s="30">
        <f t="shared" si="60"/>
        <v>32.934605784052692</v>
      </c>
      <c r="AH21" s="30">
        <f t="shared" si="59"/>
        <v>33.085709890870234</v>
      </c>
      <c r="AI21" s="30">
        <f t="shared" si="60"/>
        <v>33.904992402081</v>
      </c>
      <c r="AJ21" s="30">
        <f t="shared" si="59"/>
        <v>33.679214108043723</v>
      </c>
      <c r="AK21" s="30">
        <f t="shared" si="60"/>
        <v>34.953653569927127</v>
      </c>
      <c r="AL21" s="30">
        <f t="shared" si="59"/>
        <v>35.140566838696401</v>
      </c>
      <c r="AM21" s="30">
        <f t="shared" si="60"/>
        <v>36.050880740041691</v>
      </c>
      <c r="AN21" s="30">
        <f t="shared" si="59"/>
        <v>35.845782306482974</v>
      </c>
      <c r="AO21" s="30">
        <f t="shared" si="60"/>
        <v>36.391970647290158</v>
      </c>
      <c r="AP21" s="30">
        <f t="shared" si="59"/>
        <v>36.596963514661581</v>
      </c>
      <c r="AQ21" s="30">
        <f t="shared" si="60"/>
        <v>36.961089075199695</v>
      </c>
      <c r="AR21" s="30">
        <f t="shared" si="59"/>
        <v>36.735663594472577</v>
      </c>
      <c r="AS21" s="30">
        <f t="shared" si="60"/>
        <v>37.281851935279754</v>
      </c>
      <c r="AT21" s="30">
        <f t="shared" si="53"/>
        <v>37.477117434103931</v>
      </c>
      <c r="AU21" s="30">
        <f t="shared" si="54"/>
        <v>37.659180214372981</v>
      </c>
      <c r="AV21" s="30">
        <f t="shared" si="53"/>
        <v>37.434240893718908</v>
      </c>
      <c r="AW21" s="30">
        <f t="shared" si="54"/>
        <v>37.616303673987971</v>
      </c>
      <c r="AX21" s="30">
        <f t="shared" si="53"/>
        <v>37.808083578717017</v>
      </c>
      <c r="AY21" s="30">
        <f t="shared" si="54"/>
        <v>38.354271919524194</v>
      </c>
      <c r="AZ21" s="30">
        <f t="shared" si="53"/>
        <v>38.121365021269426</v>
      </c>
      <c r="BA21" s="30">
        <f t="shared" si="54"/>
        <v>38.394459191673008</v>
      </c>
      <c r="BB21" s="30">
        <f t="shared" si="55"/>
        <v>38.598614648318609</v>
      </c>
      <c r="BC21" s="30">
        <f t="shared" si="56"/>
        <v>38.871708818722198</v>
      </c>
      <c r="BD21" s="30">
        <f t="shared" si="55"/>
        <v>38.645296395065543</v>
      </c>
      <c r="BE21" s="30">
        <f t="shared" si="56"/>
        <v>38.8273591753346</v>
      </c>
      <c r="BF21" s="30">
        <f t="shared" si="55"/>
        <v>39.022309212700662</v>
      </c>
      <c r="BG21" s="30">
        <f t="shared" si="56"/>
        <v>39.204371992969726</v>
      </c>
      <c r="BH21" s="30">
        <f t="shared" si="55"/>
        <v>38.979863191205567</v>
      </c>
      <c r="BI21" s="30">
        <f t="shared" si="56"/>
        <v>39.161925971474624</v>
      </c>
    </row>
    <row r="22" spans="2:61" x14ac:dyDescent="0.3">
      <c r="B22" s="23"/>
      <c r="C22" s="14">
        <f t="shared" si="48"/>
        <v>4.599999999999997</v>
      </c>
      <c r="D22" s="59"/>
      <c r="E22" s="25">
        <f t="shared" si="49"/>
        <v>4.599999999999997</v>
      </c>
      <c r="F22" s="30"/>
      <c r="G22" s="30"/>
      <c r="H22" s="30"/>
      <c r="I22" s="5">
        <v>0</v>
      </c>
      <c r="J22" s="5">
        <v>0</v>
      </c>
      <c r="K22" s="30">
        <f t="shared" si="50"/>
        <v>16.385650224215247</v>
      </c>
      <c r="L22" s="30">
        <f t="shared" si="51"/>
        <v>16.385650224215247</v>
      </c>
      <c r="M22" s="30">
        <f t="shared" si="52"/>
        <v>20.026905829596412</v>
      </c>
      <c r="N22" s="30">
        <f t="shared" si="57"/>
        <v>20.026905829596412</v>
      </c>
      <c r="O22" s="30">
        <f>N22+O$4</f>
        <v>24.032286995515694</v>
      </c>
      <c r="P22" s="30">
        <f t="shared" si="57"/>
        <v>23.998150224215244</v>
      </c>
      <c r="Q22" s="30">
        <f t="shared" si="58"/>
        <v>25.272589686098655</v>
      </c>
      <c r="R22" s="30">
        <f t="shared" si="57"/>
        <v>25.010874439461887</v>
      </c>
      <c r="S22" s="30">
        <f t="shared" si="58"/>
        <v>26.649439461883411</v>
      </c>
      <c r="T22" s="30">
        <f t="shared" si="57"/>
        <v>26.717713004484306</v>
      </c>
      <c r="U22" s="30">
        <f t="shared" si="58"/>
        <v>28.35627802690583</v>
      </c>
      <c r="V22" s="30">
        <f t="shared" si="57"/>
        <v>28.097407511210765</v>
      </c>
      <c r="W22" s="30">
        <f t="shared" si="58"/>
        <v>29.553909753363232</v>
      </c>
      <c r="X22" s="30">
        <f t="shared" si="57"/>
        <v>29.743084360986551</v>
      </c>
      <c r="Y22" s="30">
        <f t="shared" si="58"/>
        <v>30.471335482062781</v>
      </c>
      <c r="Z22" s="30">
        <f t="shared" si="57"/>
        <v>30.149169702914801</v>
      </c>
      <c r="AA22" s="30">
        <f t="shared" si="58"/>
        <v>31.059483604260091</v>
      </c>
      <c r="AB22" s="30">
        <f t="shared" si="57"/>
        <v>31.277816704035871</v>
      </c>
      <c r="AC22" s="30">
        <f t="shared" si="58"/>
        <v>32.006067825112105</v>
      </c>
      <c r="AD22" s="30">
        <f t="shared" si="59"/>
        <v>31.698125700672648</v>
      </c>
      <c r="AE22" s="30">
        <f t="shared" si="60"/>
        <v>32.062251261210768</v>
      </c>
      <c r="AF22" s="30">
        <f t="shared" si="59"/>
        <v>32.282762358113793</v>
      </c>
      <c r="AG22" s="30">
        <f t="shared" si="60"/>
        <v>32.919982089055495</v>
      </c>
      <c r="AH22" s="30">
        <f t="shared" si="59"/>
        <v>32.620218566073433</v>
      </c>
      <c r="AI22" s="30">
        <f t="shared" si="60"/>
        <v>33.439501077284199</v>
      </c>
      <c r="AJ22" s="30">
        <f t="shared" si="59"/>
        <v>33.713795368553818</v>
      </c>
      <c r="AK22" s="30">
        <f t="shared" si="60"/>
        <v>34.988234830437221</v>
      </c>
      <c r="AL22" s="30">
        <f t="shared" si="59"/>
        <v>34.741532206856078</v>
      </c>
      <c r="AM22" s="30">
        <f t="shared" si="60"/>
        <v>35.651846108201369</v>
      </c>
      <c r="AN22" s="30">
        <f t="shared" si="59"/>
        <v>35.937091502373526</v>
      </c>
      <c r="AO22" s="30">
        <f t="shared" si="60"/>
        <v>36.483279843180711</v>
      </c>
      <c r="AP22" s="30">
        <f t="shared" si="59"/>
        <v>36.192414438564157</v>
      </c>
      <c r="AQ22" s="30">
        <f t="shared" si="60"/>
        <v>36.55653999910227</v>
      </c>
      <c r="AR22" s="30">
        <f t="shared" si="59"/>
        <v>36.805237268011666</v>
      </c>
      <c r="AS22" s="30">
        <f t="shared" si="60"/>
        <v>37.351425608818843</v>
      </c>
      <c r="AT22" s="30">
        <f t="shared" si="53"/>
        <v>37.074225469341201</v>
      </c>
      <c r="AU22" s="30">
        <f t="shared" si="54"/>
        <v>37.25628824961025</v>
      </c>
      <c r="AV22" s="30">
        <f t="shared" si="53"/>
        <v>37.497131602539604</v>
      </c>
      <c r="AW22" s="30">
        <f t="shared" si="54"/>
        <v>37.679194382808667</v>
      </c>
      <c r="AX22" s="30">
        <f t="shared" si="53"/>
        <v>37.391333924922179</v>
      </c>
      <c r="AY22" s="30">
        <f t="shared" si="54"/>
        <v>37.937522265729356</v>
      </c>
      <c r="AZ22" s="30">
        <f t="shared" si="53"/>
        <v>38.203889282936473</v>
      </c>
      <c r="BA22" s="30">
        <f t="shared" si="54"/>
        <v>38.476983453340054</v>
      </c>
      <c r="BB22" s="30">
        <f t="shared" si="55"/>
        <v>38.210298240024414</v>
      </c>
      <c r="BC22" s="30">
        <f t="shared" si="56"/>
        <v>38.483392410428003</v>
      </c>
      <c r="BD22" s="30">
        <f t="shared" si="55"/>
        <v>38.725909260890944</v>
      </c>
      <c r="BE22" s="30">
        <f t="shared" si="56"/>
        <v>38.907972041160001</v>
      </c>
      <c r="BF22" s="30">
        <f t="shared" si="55"/>
        <v>38.64654272012914</v>
      </c>
      <c r="BG22" s="30">
        <f t="shared" si="56"/>
        <v>38.828605500398204</v>
      </c>
      <c r="BH22" s="30">
        <f t="shared" si="55"/>
        <v>39.061565957649407</v>
      </c>
      <c r="BI22" s="30">
        <f t="shared" si="56"/>
        <v>39.243628737918463</v>
      </c>
    </row>
    <row r="23" spans="2:61" x14ac:dyDescent="0.3">
      <c r="B23" s="23"/>
      <c r="C23" s="14">
        <f t="shared" si="48"/>
        <v>4.3999999999999968</v>
      </c>
      <c r="D23" s="59"/>
      <c r="E23" s="25">
        <f t="shared" si="49"/>
        <v>4.3999999999999968</v>
      </c>
      <c r="F23" s="30"/>
      <c r="G23" s="30"/>
      <c r="H23" s="30"/>
      <c r="I23" s="5">
        <v>0</v>
      </c>
      <c r="J23" s="5">
        <v>0</v>
      </c>
      <c r="K23" s="30">
        <f t="shared" si="50"/>
        <v>16.385650224215247</v>
      </c>
      <c r="L23" s="30">
        <f t="shared" si="51"/>
        <v>16.385650224215247</v>
      </c>
      <c r="M23" s="30">
        <f t="shared" si="52"/>
        <v>20.026905829596412</v>
      </c>
      <c r="N23" s="30">
        <f t="shared" si="57"/>
        <v>19.958632286995517</v>
      </c>
      <c r="O23" s="30">
        <f t="shared" ref="O23:AC29" si="61">N23+O$4</f>
        <v>23.964013452914799</v>
      </c>
      <c r="P23" s="30">
        <f t="shared" si="57"/>
        <v>23.440582959641254</v>
      </c>
      <c r="Q23" s="30">
        <f t="shared" si="61"/>
        <v>24.715022421524665</v>
      </c>
      <c r="R23" s="30">
        <f t="shared" si="57"/>
        <v>24.868637892376682</v>
      </c>
      <c r="S23" s="30">
        <f t="shared" si="61"/>
        <v>26.507202914798206</v>
      </c>
      <c r="T23" s="30">
        <f t="shared" si="57"/>
        <v>26.12031950672646</v>
      </c>
      <c r="U23" s="30">
        <f t="shared" si="61"/>
        <v>27.758884529147984</v>
      </c>
      <c r="V23" s="30">
        <f t="shared" si="57"/>
        <v>28.10736406950673</v>
      </c>
      <c r="W23" s="30">
        <f t="shared" si="61"/>
        <v>29.563866311659197</v>
      </c>
      <c r="X23" s="30">
        <f t="shared" si="57"/>
        <v>29.081684417040364</v>
      </c>
      <c r="Y23" s="30">
        <f t="shared" si="61"/>
        <v>29.809935538116594</v>
      </c>
      <c r="Z23" s="30">
        <f t="shared" si="57"/>
        <v>30.145613789237668</v>
      </c>
      <c r="AA23" s="30">
        <f t="shared" si="61"/>
        <v>31.055927690582958</v>
      </c>
      <c r="AB23" s="30">
        <f t="shared" si="57"/>
        <v>30.649842348654708</v>
      </c>
      <c r="AC23" s="30">
        <f t="shared" si="61"/>
        <v>31.378093469730942</v>
      </c>
      <c r="AD23" s="30">
        <f t="shared" si="59"/>
        <v>31.683368658912556</v>
      </c>
      <c r="AE23" s="30">
        <f t="shared" si="60"/>
        <v>32.047494219450677</v>
      </c>
      <c r="AF23" s="30">
        <f t="shared" si="59"/>
        <v>31.668611617152472</v>
      </c>
      <c r="AG23" s="30">
        <f t="shared" si="60"/>
        <v>32.305831348094173</v>
      </c>
      <c r="AH23" s="30">
        <f t="shared" si="59"/>
        <v>32.703315823815863</v>
      </c>
      <c r="AI23" s="30">
        <f t="shared" si="60"/>
        <v>33.522598335026629</v>
      </c>
      <c r="AJ23" s="30">
        <f t="shared" si="59"/>
        <v>33.254971381901626</v>
      </c>
      <c r="AK23" s="30">
        <f t="shared" si="60"/>
        <v>34.52941084378503</v>
      </c>
      <c r="AL23" s="30">
        <f t="shared" si="59"/>
        <v>34.912988363360071</v>
      </c>
      <c r="AM23" s="30">
        <f t="shared" si="60"/>
        <v>35.823302264705362</v>
      </c>
      <c r="AN23" s="30">
        <f t="shared" si="59"/>
        <v>35.446669889030964</v>
      </c>
      <c r="AO23" s="30">
        <f t="shared" si="60"/>
        <v>35.992858229838149</v>
      </c>
      <c r="AP23" s="30">
        <f t="shared" si="59"/>
        <v>36.285259900285524</v>
      </c>
      <c r="AQ23" s="30">
        <f t="shared" si="60"/>
        <v>36.649385460823638</v>
      </c>
      <c r="AR23" s="30">
        <f t="shared" si="59"/>
        <v>36.320410662595471</v>
      </c>
      <c r="AS23" s="30">
        <f t="shared" si="60"/>
        <v>36.866599003402648</v>
      </c>
      <c r="AT23" s="30">
        <f t="shared" si="53"/>
        <v>37.153020210437177</v>
      </c>
      <c r="AU23" s="30">
        <f t="shared" si="54"/>
        <v>37.335082990706226</v>
      </c>
      <c r="AV23" s="30">
        <f t="shared" si="53"/>
        <v>36.984301395587323</v>
      </c>
      <c r="AW23" s="30">
        <f t="shared" si="54"/>
        <v>37.166364175856387</v>
      </c>
      <c r="AX23" s="30">
        <f t="shared" si="53"/>
        <v>37.507318305541581</v>
      </c>
      <c r="AY23" s="30">
        <f t="shared" si="54"/>
        <v>38.053506646348758</v>
      </c>
      <c r="AZ23" s="30">
        <f t="shared" si="53"/>
        <v>37.75304311797224</v>
      </c>
      <c r="BA23" s="30">
        <f t="shared" si="54"/>
        <v>38.026137288375821</v>
      </c>
      <c r="BB23" s="30">
        <f t="shared" si="55"/>
        <v>38.307015532656095</v>
      </c>
      <c r="BC23" s="30">
        <f t="shared" si="56"/>
        <v>38.580109703059684</v>
      </c>
      <c r="BD23" s="30">
        <f t="shared" si="55"/>
        <v>38.283663484654625</v>
      </c>
      <c r="BE23" s="30">
        <f t="shared" si="56"/>
        <v>38.465726264923681</v>
      </c>
      <c r="BF23" s="30">
        <f t="shared" si="55"/>
        <v>38.736697142060024</v>
      </c>
      <c r="BG23" s="30">
        <f t="shared" si="56"/>
        <v>38.918759922329087</v>
      </c>
      <c r="BH23" s="30">
        <f t="shared" si="55"/>
        <v>38.640445370758343</v>
      </c>
      <c r="BI23" s="30">
        <f t="shared" si="56"/>
        <v>38.822508151027399</v>
      </c>
    </row>
    <row r="24" spans="2:61" x14ac:dyDescent="0.3">
      <c r="B24" s="23"/>
      <c r="C24" s="14">
        <f t="shared" si="48"/>
        <v>4.1999999999999966</v>
      </c>
      <c r="D24" s="59"/>
      <c r="E24" s="25">
        <f t="shared" si="49"/>
        <v>4.1999999999999966</v>
      </c>
      <c r="F24" s="30"/>
      <c r="G24" s="30"/>
      <c r="H24" s="30"/>
      <c r="I24" s="5">
        <v>0</v>
      </c>
      <c r="J24" s="5">
        <v>0</v>
      </c>
      <c r="K24" s="30">
        <f t="shared" si="50"/>
        <v>16.385650224215247</v>
      </c>
      <c r="L24" s="30">
        <f t="shared" si="51"/>
        <v>16.249103139013453</v>
      </c>
      <c r="M24" s="30">
        <f>L24+M$4</f>
        <v>19.890358744394618</v>
      </c>
      <c r="N24" s="30">
        <f t="shared" si="57"/>
        <v>18.843497757847537</v>
      </c>
      <c r="O24" s="30">
        <f t="shared" si="61"/>
        <v>22.848878923766819</v>
      </c>
      <c r="P24" s="30">
        <f t="shared" si="57"/>
        <v>23.190246636771299</v>
      </c>
      <c r="Q24" s="30">
        <f t="shared" si="61"/>
        <v>24.46468609865471</v>
      </c>
      <c r="R24" s="30">
        <f t="shared" si="57"/>
        <v>23.952634529147986</v>
      </c>
      <c r="S24" s="30">
        <f t="shared" si="61"/>
        <v>25.59119955156951</v>
      </c>
      <c r="T24" s="30">
        <f t="shared" si="57"/>
        <v>26.219885089686102</v>
      </c>
      <c r="U24" s="30">
        <f t="shared" si="61"/>
        <v>27.858450112107626</v>
      </c>
      <c r="V24" s="30">
        <f t="shared" si="57"/>
        <v>27.152956838565025</v>
      </c>
      <c r="W24" s="30">
        <f t="shared" si="61"/>
        <v>28.609459080717492</v>
      </c>
      <c r="X24" s="30">
        <f t="shared" si="57"/>
        <v>29.091640975336325</v>
      </c>
      <c r="Y24" s="30">
        <f t="shared" si="61"/>
        <v>29.819892096412556</v>
      </c>
      <c r="Z24" s="30">
        <f t="shared" si="57"/>
        <v>29.329887191704039</v>
      </c>
      <c r="AA24" s="30">
        <f t="shared" si="61"/>
        <v>30.240201093049329</v>
      </c>
      <c r="AB24" s="30">
        <f t="shared" si="57"/>
        <v>30.632418371636771</v>
      </c>
      <c r="AC24" s="30">
        <f t="shared" si="61"/>
        <v>31.360669492713004</v>
      </c>
      <c r="AD24" s="30">
        <f t="shared" si="59"/>
        <v>30.910846412556054</v>
      </c>
      <c r="AE24" s="30">
        <f t="shared" si="60"/>
        <v>31.274971973094175</v>
      </c>
      <c r="AF24" s="30">
        <f t="shared" si="59"/>
        <v>31.84942982763453</v>
      </c>
      <c r="AG24" s="30">
        <f t="shared" si="60"/>
        <v>32.486649558576232</v>
      </c>
      <c r="AH24" s="30">
        <f t="shared" si="59"/>
        <v>32.251159175308295</v>
      </c>
      <c r="AI24" s="30">
        <f t="shared" si="60"/>
        <v>33.070441686519061</v>
      </c>
      <c r="AJ24" s="30">
        <f t="shared" si="59"/>
        <v>33.563302434399525</v>
      </c>
      <c r="AK24" s="30">
        <f t="shared" si="60"/>
        <v>34.837741896282928</v>
      </c>
      <c r="AL24" s="30">
        <f t="shared" si="59"/>
        <v>34.33117976851527</v>
      </c>
      <c r="AM24" s="30">
        <f t="shared" si="60"/>
        <v>35.24149366986056</v>
      </c>
      <c r="AN24" s="30">
        <f t="shared" si="59"/>
        <v>35.541051616583161</v>
      </c>
      <c r="AO24" s="30">
        <f t="shared" si="60"/>
        <v>36.087239957390345</v>
      </c>
      <c r="AP24" s="30">
        <f t="shared" si="59"/>
        <v>35.720155765550558</v>
      </c>
      <c r="AQ24" s="30">
        <f t="shared" si="60"/>
        <v>36.084281326088671</v>
      </c>
      <c r="AR24" s="30">
        <f t="shared" si="59"/>
        <v>36.408426471248333</v>
      </c>
      <c r="AS24" s="30">
        <f t="shared" si="60"/>
        <v>36.95461481205551</v>
      </c>
      <c r="AT24" s="30">
        <f t="shared" si="53"/>
        <v>36.530251761295339</v>
      </c>
      <c r="AU24" s="30">
        <f t="shared" si="54"/>
        <v>36.712314541564389</v>
      </c>
      <c r="AV24" s="30">
        <f t="shared" si="53"/>
        <v>37.153379448005431</v>
      </c>
      <c r="AW24" s="30">
        <f t="shared" si="54"/>
        <v>37.335442228274495</v>
      </c>
      <c r="AX24" s="30">
        <f t="shared" si="53"/>
        <v>37.022375629407946</v>
      </c>
      <c r="AY24" s="30">
        <f t="shared" si="54"/>
        <v>37.568563970215124</v>
      </c>
      <c r="AZ24" s="30">
        <f t="shared" si="53"/>
        <v>37.863953441568555</v>
      </c>
      <c r="BA24" s="30">
        <f t="shared" si="54"/>
        <v>38.137047611972136</v>
      </c>
      <c r="BB24" s="30">
        <f t="shared" si="55"/>
        <v>37.810840388477658</v>
      </c>
      <c r="BC24" s="30">
        <f t="shared" si="56"/>
        <v>38.083934558881246</v>
      </c>
      <c r="BD24" s="30">
        <f t="shared" si="55"/>
        <v>38.38335946269099</v>
      </c>
      <c r="BE24" s="30">
        <f t="shared" si="56"/>
        <v>38.565422242960047</v>
      </c>
      <c r="BF24" s="30">
        <f t="shared" si="55"/>
        <v>38.270222460849411</v>
      </c>
      <c r="BG24" s="30">
        <f t="shared" si="56"/>
        <v>38.452285241118474</v>
      </c>
      <c r="BH24" s="30">
        <f t="shared" si="55"/>
        <v>38.736950042964096</v>
      </c>
      <c r="BI24" s="30">
        <f t="shared" si="56"/>
        <v>38.919012823233153</v>
      </c>
    </row>
    <row r="25" spans="2:61" x14ac:dyDescent="0.3">
      <c r="B25" s="23"/>
      <c r="C25" s="14">
        <f t="shared" si="48"/>
        <v>3.9999999999999964</v>
      </c>
      <c r="D25" s="60" t="s">
        <v>63</v>
      </c>
      <c r="E25" s="31">
        <f t="shared" si="49"/>
        <v>3.9999999999999964</v>
      </c>
      <c r="F25" s="32">
        <v>0</v>
      </c>
      <c r="G25" s="32">
        <v>0</v>
      </c>
      <c r="H25" s="32">
        <v>0</v>
      </c>
      <c r="I25" s="32">
        <v>0</v>
      </c>
      <c r="J25" s="32">
        <f>(I26+I24)/2</f>
        <v>5.9170403587443943</v>
      </c>
      <c r="K25" s="32">
        <f>J25+K3/2+K4/2</f>
        <v>16.112556053811659</v>
      </c>
      <c r="L25" s="30">
        <f t="shared" si="51"/>
        <v>15.202242152466368</v>
      </c>
      <c r="M25" s="32">
        <f>L25+M$3/2+M$4/2</f>
        <v>17.660089686098658</v>
      </c>
      <c r="N25" s="30">
        <f t="shared" si="57"/>
        <v>19.5945067264574</v>
      </c>
      <c r="O25" s="32">
        <f t="shared" ref="O25" si="62">N25+O$3/2+O$4/2</f>
        <v>22.416479820627803</v>
      </c>
      <c r="P25" s="30">
        <f t="shared" si="57"/>
        <v>21.733744394618835</v>
      </c>
      <c r="Q25" s="32">
        <f t="shared" ref="Q25" si="63">P25+Q$3/2+Q$4/2</f>
        <v>23.190246636771302</v>
      </c>
      <c r="R25" s="30">
        <f t="shared" si="57"/>
        <v>24.385033632286998</v>
      </c>
      <c r="S25" s="32">
        <f t="shared" ref="S25" si="64">R25+S$3/2+S$4/2</f>
        <v>25.932567264573994</v>
      </c>
      <c r="T25" s="30">
        <f t="shared" si="57"/>
        <v>25.363621076233187</v>
      </c>
      <c r="U25" s="32">
        <f t="shared" ref="U25" si="65">T25+U$3/2+U$4/2</f>
        <v>26.547029147982062</v>
      </c>
      <c r="V25" s="30">
        <f t="shared" si="57"/>
        <v>27.436007567264575</v>
      </c>
      <c r="W25" s="32">
        <f t="shared" ref="W25" si="66">V25+W$3/2+W$4/2</f>
        <v>28.619415639013454</v>
      </c>
      <c r="X25" s="30">
        <f t="shared" si="57"/>
        <v>28.121587724215246</v>
      </c>
      <c r="Y25" s="32">
        <f t="shared" ref="Y25" si="67">X25+Y$3/2+Y$4/2</f>
        <v>28.84983884529148</v>
      </c>
      <c r="Z25" s="30">
        <f t="shared" si="57"/>
        <v>29.571689321748877</v>
      </c>
      <c r="AA25" s="32">
        <f t="shared" ref="AA25" si="68">Z25+AA$3/2+AA$4/2</f>
        <v>30.208909052690583</v>
      </c>
      <c r="AB25" s="30">
        <f t="shared" si="57"/>
        <v>29.760863929372199</v>
      </c>
      <c r="AC25" s="32">
        <f t="shared" ref="AC25" si="69">AB25+AC$3/2+AC$4/2</f>
        <v>30.443599355381167</v>
      </c>
      <c r="AD25" s="30">
        <f t="shared" si="59"/>
        <v>31.059661399943945</v>
      </c>
      <c r="AE25" s="32">
        <f t="shared" ref="AE25" si="70">AD25+AE$3/2+AE$4/2</f>
        <v>31.651365435818388</v>
      </c>
      <c r="AF25" s="30">
        <f t="shared" si="59"/>
        <v>31.240657406109868</v>
      </c>
      <c r="AG25" s="32">
        <f t="shared" ref="AG25" si="71">AF25+AG$3/2+AG$4/2</f>
        <v>32.196487002522417</v>
      </c>
      <c r="AH25" s="30">
        <f t="shared" si="59"/>
        <v>32.739208327494396</v>
      </c>
      <c r="AI25" s="32">
        <f t="shared" ref="AI25" si="72">AH25+AI$3/2+AI$4/2</f>
        <v>33.60400653377242</v>
      </c>
      <c r="AJ25" s="30">
        <f t="shared" si="59"/>
        <v>33.222634791900219</v>
      </c>
      <c r="AK25" s="32">
        <f t="shared" ref="AK25" si="73">AJ25+AK$3/2+AK$4/2</f>
        <v>34.132948693245517</v>
      </c>
      <c r="AL25" s="30">
        <f t="shared" si="59"/>
        <v>34.621581237519266</v>
      </c>
      <c r="AM25" s="32">
        <f t="shared" ref="AM25" si="74">AL25+AM$3/2+AM$4/2</f>
        <v>35.258800968460967</v>
      </c>
      <c r="AN25" s="30">
        <f t="shared" si="59"/>
        <v>34.901264960455784</v>
      </c>
      <c r="AO25" s="32">
        <f t="shared" ref="AO25" si="75">AN25+AO$3/2+AO$4/2</f>
        <v>35.447453301262968</v>
      </c>
      <c r="AP25" s="30">
        <f t="shared" si="59"/>
        <v>35.894373311269447</v>
      </c>
      <c r="AQ25" s="32">
        <f t="shared" ref="AQ25" si="76">AP25+AQ$3/2+AQ$4/2</f>
        <v>36.167467481673029</v>
      </c>
      <c r="AR25" s="30">
        <f t="shared" si="59"/>
        <v>35.829778958649911</v>
      </c>
      <c r="AS25" s="32">
        <f t="shared" ref="AS25" si="77">AR25+AS$3/2+AS$4/2</f>
        <v>36.193904519188031</v>
      </c>
      <c r="AT25" s="30">
        <f t="shared" si="53"/>
        <v>36.607550344766523</v>
      </c>
      <c r="AU25" s="32">
        <f t="shared" ref="AU25" si="78">AT25+AU$3/2+AU$4/2</f>
        <v>36.971675905304636</v>
      </c>
      <c r="AV25" s="30">
        <f t="shared" si="53"/>
        <v>36.650808607623176</v>
      </c>
      <c r="AW25" s="32">
        <f t="shared" ref="AW25" si="79">AV25+AW$3/2+AW$4/2</f>
        <v>36.878387082959499</v>
      </c>
      <c r="AX25" s="30">
        <f t="shared" si="53"/>
        <v>37.264758981182965</v>
      </c>
      <c r="AY25" s="32">
        <f t="shared" ref="AY25" si="80">AX25+AY$3/2+AY$4/2</f>
        <v>37.674400236788351</v>
      </c>
      <c r="AZ25" s="30">
        <f t="shared" si="53"/>
        <v>37.367965013243165</v>
      </c>
      <c r="BA25" s="32">
        <f t="shared" ref="BA25" si="81">AZ25+BA$3/2+BA$4/2</f>
        <v>37.595543488579487</v>
      </c>
      <c r="BB25" s="30">
        <f t="shared" si="55"/>
        <v>37.959030746985974</v>
      </c>
      <c r="BC25" s="32">
        <f t="shared" ref="BC25" si="82">BB25+BC$3/2+BC$4/2</f>
        <v>38.186609222322303</v>
      </c>
      <c r="BD25" s="30">
        <f t="shared" si="55"/>
        <v>37.892655876506083</v>
      </c>
      <c r="BE25" s="32">
        <f t="shared" ref="BE25" si="83">BD25+BE$3/2+BE$4/2</f>
        <v>38.074718656775147</v>
      </c>
      <c r="BF25" s="30">
        <f t="shared" si="55"/>
        <v>38.418593078397308</v>
      </c>
      <c r="BG25" s="32">
        <f t="shared" ref="BG25" si="84">BF25+BG$3/2+BG$4/2</f>
        <v>38.555140163599106</v>
      </c>
      <c r="BH25" s="30">
        <f t="shared" si="55"/>
        <v>38.272033789647011</v>
      </c>
      <c r="BI25" s="32">
        <f t="shared" ref="BI25" si="85">BH25+BI$3/2+BI$4/2</f>
        <v>38.408580874848809</v>
      </c>
    </row>
    <row r="26" spans="2:61" x14ac:dyDescent="0.3">
      <c r="B26" s="23"/>
      <c r="C26" s="14">
        <f t="shared" si="48"/>
        <v>3.7999999999999963</v>
      </c>
      <c r="D26" s="60"/>
      <c r="E26" s="31">
        <f t="shared" si="49"/>
        <v>3.7999999999999963</v>
      </c>
      <c r="F26" s="28">
        <v>0</v>
      </c>
      <c r="G26" s="29">
        <f>$G$3</f>
        <v>16.385650224215247</v>
      </c>
      <c r="H26" s="5">
        <f>(G25+G27)/2</f>
        <v>8.1928251121076237</v>
      </c>
      <c r="I26" s="29">
        <f>H26+I$3</f>
        <v>11.834080717488789</v>
      </c>
      <c r="J26" s="28">
        <f t="shared" ref="J26:J84" si="86">(I27+I25)/2</f>
        <v>10.013452914798206</v>
      </c>
      <c r="K26" s="29">
        <f>J26+K$3</f>
        <v>14.018834080717488</v>
      </c>
      <c r="L26" s="30">
        <f t="shared" si="51"/>
        <v>18.024215246636771</v>
      </c>
      <c r="M26" s="29">
        <f>L26+M$3</f>
        <v>19.298654708520182</v>
      </c>
      <c r="N26" s="30">
        <f t="shared" si="57"/>
        <v>18.980044843049328</v>
      </c>
      <c r="O26" s="29">
        <f t="shared" ref="O26" si="87">N26+O$3</f>
        <v>20.618609865470852</v>
      </c>
      <c r="P26" s="30">
        <f t="shared" si="57"/>
        <v>22.666816143497758</v>
      </c>
      <c r="Q26" s="29">
        <f t="shared" ref="Q26" si="88">P26+Q$3</f>
        <v>24.305381165919282</v>
      </c>
      <c r="R26" s="30">
        <f t="shared" si="57"/>
        <v>23.679540358744397</v>
      </c>
      <c r="S26" s="29">
        <f t="shared" ref="S26" si="89">R26+S$3</f>
        <v>25.136042600896864</v>
      </c>
      <c r="T26" s="30">
        <f t="shared" si="57"/>
        <v>26.28531390134529</v>
      </c>
      <c r="U26" s="29">
        <f t="shared" ref="U26" si="90">T26+U$3</f>
        <v>27.01356502242152</v>
      </c>
      <c r="V26" s="30">
        <f t="shared" si="57"/>
        <v>26.723402466367713</v>
      </c>
      <c r="W26" s="29">
        <f t="shared" ref="W26" si="91">V26+W$3</f>
        <v>27.633716367713003</v>
      </c>
      <c r="X26" s="30">
        <f t="shared" si="57"/>
        <v>28.595235426008966</v>
      </c>
      <c r="Y26" s="29">
        <f t="shared" ref="Y26" si="92">X26+Y$3</f>
        <v>29.323486547085199</v>
      </c>
      <c r="Z26" s="30">
        <f t="shared" si="57"/>
        <v>28.917401205156949</v>
      </c>
      <c r="AA26" s="29">
        <f t="shared" ref="AA26" si="93">Z26+AA$3</f>
        <v>29.28152676569507</v>
      </c>
      <c r="AB26" s="30">
        <f t="shared" si="57"/>
        <v>30.121433576233184</v>
      </c>
      <c r="AC26" s="29">
        <f t="shared" ref="AC26:AQ29" si="94">AB26+AC$3</f>
        <v>30.758653307174885</v>
      </c>
      <c r="AD26" s="30">
        <f t="shared" si="59"/>
        <v>30.387060327914799</v>
      </c>
      <c r="AE26" s="29">
        <f t="shared" ref="AE26" si="95">AD26+AE$3</f>
        <v>31.206342839125565</v>
      </c>
      <c r="AF26" s="30">
        <f t="shared" si="59"/>
        <v>31.717327634529148</v>
      </c>
      <c r="AG26" s="29">
        <f t="shared" ref="AG26" si="96">AF26+AG$3</f>
        <v>32.991767096412552</v>
      </c>
      <c r="AH26" s="30">
        <f t="shared" si="59"/>
        <v>32.464513995936095</v>
      </c>
      <c r="AI26" s="29">
        <f t="shared" ref="AI26" si="97">AH26+AI$3</f>
        <v>33.374827897281385</v>
      </c>
      <c r="AJ26" s="30">
        <f t="shared" si="59"/>
        <v>33.859232237948426</v>
      </c>
      <c r="AK26" s="29">
        <f t="shared" ref="AK26" si="98">AJ26+AK$3</f>
        <v>34.40542057875561</v>
      </c>
      <c r="AL26" s="30">
        <f t="shared" si="59"/>
        <v>34.196910690512894</v>
      </c>
      <c r="AM26" s="29">
        <f t="shared" ref="AM26" si="99">AL26+AM$3</f>
        <v>34.561036251051007</v>
      </c>
      <c r="AN26" s="30">
        <f t="shared" si="59"/>
        <v>35.155318324341366</v>
      </c>
      <c r="AO26" s="29">
        <f t="shared" ref="AO26" si="100">AN26+AO$3</f>
        <v>35.701506665148543</v>
      </c>
      <c r="AP26" s="30">
        <f t="shared" si="59"/>
        <v>35.3932138109421</v>
      </c>
      <c r="AQ26" s="29">
        <f t="shared" ref="AQ26" si="101">AP26+AQ$3</f>
        <v>35.57527659121115</v>
      </c>
      <c r="AR26" s="30">
        <f t="shared" si="59"/>
        <v>36.078423097208471</v>
      </c>
      <c r="AS26" s="29">
        <f t="shared" ref="AS26:BG29" si="102">AR26+AS$3</f>
        <v>36.260485877477535</v>
      </c>
      <c r="AT26" s="30">
        <f t="shared" si="53"/>
        <v>36.043114332874794</v>
      </c>
      <c r="AU26" s="29">
        <f t="shared" ref="AU26" si="103">AT26+AU$3</f>
        <v>36.589302673681971</v>
      </c>
      <c r="AV26" s="30">
        <f t="shared" si="53"/>
        <v>36.92098156368786</v>
      </c>
      <c r="AW26" s="29">
        <f t="shared" ref="AW26" si="104">AV26+AW$3</f>
        <v>37.194075734091442</v>
      </c>
      <c r="AX26" s="30">
        <f t="shared" si="53"/>
        <v>36.89427188586761</v>
      </c>
      <c r="AY26" s="29">
        <f t="shared" ref="AY26" si="105">AX26+AY$3</f>
        <v>37.167366056271199</v>
      </c>
      <c r="AZ26" s="30">
        <f t="shared" si="53"/>
        <v>37.598951101730755</v>
      </c>
      <c r="BA26" s="29">
        <f t="shared" ref="BA26" si="106">AZ26+BA$3</f>
        <v>37.781013881999812</v>
      </c>
      <c r="BB26" s="30">
        <f t="shared" si="55"/>
        <v>37.519314413861849</v>
      </c>
      <c r="BC26" s="29">
        <f t="shared" ref="BC26" si="107">BB26+BC$3</f>
        <v>37.701377194130913</v>
      </c>
      <c r="BD26" s="30">
        <f t="shared" si="55"/>
        <v>38.089701133565519</v>
      </c>
      <c r="BE26" s="29">
        <f t="shared" ref="BE26" si="108">BD26+BE$3</f>
        <v>38.271763913834576</v>
      </c>
      <c r="BF26" s="30">
        <f t="shared" si="55"/>
        <v>38.000750948041016</v>
      </c>
      <c r="BG26" s="29">
        <f t="shared" ref="BG26" si="109">BF26+BG$3</f>
        <v>38.091782338175541</v>
      </c>
      <c r="BH26" s="30">
        <f t="shared" si="55"/>
        <v>38.460583065737524</v>
      </c>
      <c r="BI26" s="29">
        <f t="shared" ref="O26:BI40" si="110">BH26+BI$3</f>
        <v>38.551614455872055</v>
      </c>
    </row>
    <row r="27" spans="2:61" x14ac:dyDescent="0.3">
      <c r="B27" s="23"/>
      <c r="C27" s="14">
        <f t="shared" si="48"/>
        <v>3.5999999999999961</v>
      </c>
      <c r="D27" s="60"/>
      <c r="E27" s="31">
        <f t="shared" si="49"/>
        <v>3.5999999999999961</v>
      </c>
      <c r="F27" s="28">
        <v>0</v>
      </c>
      <c r="G27" s="29">
        <f t="shared" ref="G27:G43" si="111">$G$3</f>
        <v>16.385650224215247</v>
      </c>
      <c r="H27" s="5">
        <f t="shared" ref="H27:H84" si="112">(G26+G28)/2</f>
        <v>16.385650224215247</v>
      </c>
      <c r="I27" s="29">
        <f t="shared" ref="I27:I43" si="113">H27+I$3</f>
        <v>20.026905829596412</v>
      </c>
      <c r="J27" s="28">
        <f t="shared" si="86"/>
        <v>15.9304932735426</v>
      </c>
      <c r="K27" s="29">
        <f t="shared" ref="K27:K43" si="114">J27+K$3</f>
        <v>19.935874439461884</v>
      </c>
      <c r="L27" s="30">
        <f t="shared" si="51"/>
        <v>19.02556053811659</v>
      </c>
      <c r="M27" s="29">
        <f t="shared" ref="M27:AA43" si="115">L27+M$3</f>
        <v>20.3</v>
      </c>
      <c r="N27" s="30">
        <f t="shared" si="57"/>
        <v>21.27858744394619</v>
      </c>
      <c r="O27" s="29">
        <f t="shared" si="115"/>
        <v>22.917152466367714</v>
      </c>
      <c r="P27" s="30">
        <f t="shared" si="57"/>
        <v>22.530269058295964</v>
      </c>
      <c r="Q27" s="29">
        <f t="shared" si="115"/>
        <v>24.168834080717488</v>
      </c>
      <c r="R27" s="30">
        <f t="shared" si="57"/>
        <v>25.181558295964123</v>
      </c>
      <c r="S27" s="29">
        <f t="shared" si="115"/>
        <v>26.638060538116591</v>
      </c>
      <c r="T27" s="30">
        <f t="shared" si="57"/>
        <v>26.171524663677133</v>
      </c>
      <c r="U27" s="29">
        <f t="shared" si="115"/>
        <v>26.899775784753363</v>
      </c>
      <c r="V27" s="30">
        <f t="shared" si="57"/>
        <v>27.660741311659187</v>
      </c>
      <c r="W27" s="29">
        <f t="shared" si="115"/>
        <v>28.571055213004477</v>
      </c>
      <c r="X27" s="30">
        <f t="shared" si="57"/>
        <v>28.256712443946185</v>
      </c>
      <c r="Y27" s="29">
        <f t="shared" si="115"/>
        <v>28.984963565022419</v>
      </c>
      <c r="Z27" s="30">
        <f t="shared" si="57"/>
        <v>29.669832539237664</v>
      </c>
      <c r="AA27" s="29">
        <f t="shared" si="115"/>
        <v>30.033958099775784</v>
      </c>
      <c r="AB27" s="30">
        <f t="shared" si="57"/>
        <v>29.69330156950673</v>
      </c>
      <c r="AC27" s="29">
        <f t="shared" si="94"/>
        <v>30.330521300448432</v>
      </c>
      <c r="AD27" s="30">
        <f t="shared" si="59"/>
        <v>30.964007322029147</v>
      </c>
      <c r="AE27" s="29">
        <f t="shared" si="94"/>
        <v>31.783289833239913</v>
      </c>
      <c r="AF27" s="30">
        <f t="shared" si="59"/>
        <v>31.458101527466372</v>
      </c>
      <c r="AG27" s="29">
        <f t="shared" si="94"/>
        <v>32.732540989349772</v>
      </c>
      <c r="AH27" s="30">
        <f t="shared" si="59"/>
        <v>33.204144040779141</v>
      </c>
      <c r="AI27" s="29">
        <f t="shared" si="94"/>
        <v>34.114457942124432</v>
      </c>
      <c r="AJ27" s="30">
        <f t="shared" si="59"/>
        <v>33.714684346973087</v>
      </c>
      <c r="AK27" s="29">
        <f t="shared" si="94"/>
        <v>34.260872687780271</v>
      </c>
      <c r="AL27" s="30">
        <f t="shared" si="59"/>
        <v>34.687710119683651</v>
      </c>
      <c r="AM27" s="29">
        <f t="shared" si="94"/>
        <v>35.051835680221764</v>
      </c>
      <c r="AN27" s="30">
        <f t="shared" si="59"/>
        <v>34.792785979814056</v>
      </c>
      <c r="AO27" s="29">
        <f t="shared" si="94"/>
        <v>35.338974320621233</v>
      </c>
      <c r="AP27" s="30">
        <f t="shared" si="59"/>
        <v>35.807315932474864</v>
      </c>
      <c r="AQ27" s="29">
        <f t="shared" si="94"/>
        <v>35.989378712743914</v>
      </c>
      <c r="AR27" s="30">
        <f t="shared" si="59"/>
        <v>35.710261366292492</v>
      </c>
      <c r="AS27" s="29">
        <f t="shared" si="102"/>
        <v>35.892324146561556</v>
      </c>
      <c r="AT27" s="30">
        <f t="shared" si="53"/>
        <v>36.324098881263907</v>
      </c>
      <c r="AU27" s="29">
        <f t="shared" si="102"/>
        <v>36.870287222071084</v>
      </c>
      <c r="AV27" s="30">
        <f t="shared" si="53"/>
        <v>36.637062518372133</v>
      </c>
      <c r="AW27" s="29">
        <f t="shared" si="102"/>
        <v>36.910156688775714</v>
      </c>
      <c r="AX27" s="30">
        <f t="shared" si="53"/>
        <v>37.25040779626957</v>
      </c>
      <c r="AY27" s="29">
        <f t="shared" si="102"/>
        <v>37.523501966673159</v>
      </c>
      <c r="AZ27" s="30">
        <f t="shared" si="53"/>
        <v>37.261022558875148</v>
      </c>
      <c r="BA27" s="29">
        <f t="shared" si="102"/>
        <v>37.443085339144204</v>
      </c>
      <c r="BB27" s="30">
        <f t="shared" si="55"/>
        <v>37.810730264539671</v>
      </c>
      <c r="BC27" s="29">
        <f t="shared" si="102"/>
        <v>37.992793044808735</v>
      </c>
      <c r="BD27" s="30">
        <f t="shared" si="55"/>
        <v>37.744720459037836</v>
      </c>
      <c r="BE27" s="29">
        <f t="shared" si="102"/>
        <v>37.926783239306893</v>
      </c>
      <c r="BF27" s="30">
        <f t="shared" si="55"/>
        <v>38.27499457774141</v>
      </c>
      <c r="BG27" s="29">
        <f t="shared" si="102"/>
        <v>38.366025967875935</v>
      </c>
      <c r="BH27" s="30">
        <f t="shared" si="55"/>
        <v>38.115925641538318</v>
      </c>
      <c r="BI27" s="29">
        <f t="shared" si="110"/>
        <v>38.20695703167285</v>
      </c>
    </row>
    <row r="28" spans="2:61" x14ac:dyDescent="0.3">
      <c r="B28" s="23"/>
      <c r="C28" s="14">
        <f t="shared" si="48"/>
        <v>3.3999999999999959</v>
      </c>
      <c r="D28" s="60"/>
      <c r="E28" s="31">
        <f t="shared" si="49"/>
        <v>3.3999999999999959</v>
      </c>
      <c r="F28" s="28">
        <v>0</v>
      </c>
      <c r="G28" s="29">
        <f t="shared" si="111"/>
        <v>16.385650224215247</v>
      </c>
      <c r="H28" s="5">
        <f t="shared" si="112"/>
        <v>16.385650224215247</v>
      </c>
      <c r="I28" s="29">
        <f t="shared" si="113"/>
        <v>20.026905829596412</v>
      </c>
      <c r="J28" s="28">
        <f t="shared" si="86"/>
        <v>20.026905829596412</v>
      </c>
      <c r="K28" s="29">
        <f t="shared" si="114"/>
        <v>24.032286995515694</v>
      </c>
      <c r="L28" s="30">
        <f t="shared" si="51"/>
        <v>21.984080717488787</v>
      </c>
      <c r="M28" s="29">
        <f>L28+M$3</f>
        <v>23.258520179372198</v>
      </c>
      <c r="N28" s="30">
        <f t="shared" si="57"/>
        <v>22.803363228699553</v>
      </c>
      <c r="O28" s="29">
        <f t="shared" si="115"/>
        <v>24.441928251121077</v>
      </c>
      <c r="P28" s="30">
        <f t="shared" si="57"/>
        <v>24.419170403587444</v>
      </c>
      <c r="Q28" s="29">
        <f t="shared" si="115"/>
        <v>26.057735426008968</v>
      </c>
      <c r="R28" s="30">
        <f t="shared" si="57"/>
        <v>25.750504484304933</v>
      </c>
      <c r="S28" s="29">
        <f t="shared" si="115"/>
        <v>27.207006726457401</v>
      </c>
      <c r="T28" s="30">
        <f t="shared" si="57"/>
        <v>27.579666479820627</v>
      </c>
      <c r="U28" s="29">
        <f t="shared" si="115"/>
        <v>28.307917600896857</v>
      </c>
      <c r="V28" s="30">
        <f t="shared" si="57"/>
        <v>27.96939461883408</v>
      </c>
      <c r="W28" s="29">
        <f t="shared" si="115"/>
        <v>28.879708520179371</v>
      </c>
      <c r="X28" s="30">
        <f t="shared" si="57"/>
        <v>29.287927410313895</v>
      </c>
      <c r="Y28" s="29">
        <f t="shared" si="115"/>
        <v>30.016178531390128</v>
      </c>
      <c r="Z28" s="30">
        <f t="shared" si="57"/>
        <v>29.740950812780266</v>
      </c>
      <c r="AA28" s="29">
        <f t="shared" si="115"/>
        <v>30.105076373318386</v>
      </c>
      <c r="AB28" s="30">
        <f t="shared" si="57"/>
        <v>30.532141605941703</v>
      </c>
      <c r="AC28" s="29">
        <f t="shared" si="94"/>
        <v>31.169361336883405</v>
      </c>
      <c r="AD28" s="30">
        <f t="shared" si="59"/>
        <v>30.890577704596414</v>
      </c>
      <c r="AE28" s="29">
        <f t="shared" si="94"/>
        <v>31.709860215807179</v>
      </c>
      <c r="AF28" s="30">
        <f t="shared" si="59"/>
        <v>32.142081523262334</v>
      </c>
      <c r="AG28" s="29">
        <f t="shared" si="94"/>
        <v>33.416520985145738</v>
      </c>
      <c r="AH28" s="30">
        <f t="shared" si="59"/>
        <v>33.144226895319505</v>
      </c>
      <c r="AI28" s="29">
        <f t="shared" si="94"/>
        <v>34.054540796664796</v>
      </c>
      <c r="AJ28" s="30">
        <f t="shared" si="59"/>
        <v>34.423811319804507</v>
      </c>
      <c r="AK28" s="29">
        <f t="shared" si="94"/>
        <v>34.969999660611691</v>
      </c>
      <c r="AL28" s="30">
        <f t="shared" si="59"/>
        <v>34.660410148038999</v>
      </c>
      <c r="AM28" s="29">
        <f t="shared" si="94"/>
        <v>35.024535708577112</v>
      </c>
      <c r="AN28" s="30">
        <f t="shared" si="59"/>
        <v>35.366936858994009</v>
      </c>
      <c r="AO28" s="29">
        <f t="shared" si="94"/>
        <v>35.913125199801186</v>
      </c>
      <c r="AP28" s="30">
        <f t="shared" si="59"/>
        <v>35.663183361104785</v>
      </c>
      <c r="AQ28" s="29">
        <f t="shared" si="94"/>
        <v>35.845246141373835</v>
      </c>
      <c r="AR28" s="30">
        <f t="shared" si="59"/>
        <v>36.205649104781209</v>
      </c>
      <c r="AS28" s="29">
        <f t="shared" si="102"/>
        <v>36.387711885050273</v>
      </c>
      <c r="AT28" s="30">
        <f t="shared" si="53"/>
        <v>36.138634022255118</v>
      </c>
      <c r="AU28" s="29">
        <f t="shared" si="102"/>
        <v>36.684822363062295</v>
      </c>
      <c r="AV28" s="30">
        <f t="shared" si="53"/>
        <v>37.033645688044118</v>
      </c>
      <c r="AW28" s="29">
        <f t="shared" si="102"/>
        <v>37.306739858447699</v>
      </c>
      <c r="AX28" s="30">
        <f t="shared" si="53"/>
        <v>37.081584891075508</v>
      </c>
      <c r="AY28" s="29">
        <f t="shared" si="102"/>
        <v>37.354679061479096</v>
      </c>
      <c r="AZ28" s="30">
        <f t="shared" si="53"/>
        <v>37.658383866810475</v>
      </c>
      <c r="BA28" s="29">
        <f t="shared" si="102"/>
        <v>37.840446647079531</v>
      </c>
      <c r="BB28" s="30">
        <f t="shared" si="55"/>
        <v>37.606000943675703</v>
      </c>
      <c r="BC28" s="29">
        <f t="shared" si="102"/>
        <v>37.788063723944767</v>
      </c>
      <c r="BD28" s="30">
        <f t="shared" si="55"/>
        <v>38.09616246137918</v>
      </c>
      <c r="BE28" s="29">
        <f t="shared" si="102"/>
        <v>38.278225241648236</v>
      </c>
      <c r="BF28" s="30">
        <f t="shared" si="55"/>
        <v>38.049037554766571</v>
      </c>
      <c r="BG28" s="29">
        <f t="shared" si="102"/>
        <v>38.140068944901095</v>
      </c>
      <c r="BH28" s="30">
        <f t="shared" si="55"/>
        <v>38.438534420488125</v>
      </c>
      <c r="BI28" s="29">
        <f t="shared" si="110"/>
        <v>38.529565810622657</v>
      </c>
    </row>
    <row r="29" spans="2:61" x14ac:dyDescent="0.3">
      <c r="B29" s="23"/>
      <c r="C29" s="14">
        <f t="shared" si="48"/>
        <v>3.1999999999999957</v>
      </c>
      <c r="D29" s="60"/>
      <c r="E29" s="31">
        <f t="shared" si="49"/>
        <v>3.1999999999999957</v>
      </c>
      <c r="F29" s="28">
        <v>0</v>
      </c>
      <c r="G29" s="29">
        <f t="shared" si="111"/>
        <v>16.385650224215247</v>
      </c>
      <c r="H29" s="5">
        <f t="shared" si="112"/>
        <v>16.385650224215247</v>
      </c>
      <c r="I29" s="29">
        <f t="shared" si="113"/>
        <v>20.026905829596412</v>
      </c>
      <c r="J29" s="28">
        <f t="shared" si="86"/>
        <v>20.026905829596412</v>
      </c>
      <c r="K29" s="29">
        <f t="shared" si="114"/>
        <v>24.032286995515694</v>
      </c>
      <c r="L29" s="30">
        <f t="shared" si="51"/>
        <v>24.032286995515694</v>
      </c>
      <c r="M29" s="29">
        <f t="shared" si="115"/>
        <v>25.306726457399105</v>
      </c>
      <c r="N29" s="30">
        <f t="shared" si="57"/>
        <v>24.282623318385653</v>
      </c>
      <c r="O29" s="29">
        <f t="shared" si="115"/>
        <v>25.921188340807177</v>
      </c>
      <c r="P29" s="30">
        <f t="shared" si="57"/>
        <v>25.693609865470854</v>
      </c>
      <c r="Q29" s="29">
        <f t="shared" si="115"/>
        <v>27.332174887892378</v>
      </c>
      <c r="R29" s="30">
        <f t="shared" si="57"/>
        <v>27.064770179372196</v>
      </c>
      <c r="S29" s="29">
        <f t="shared" si="115"/>
        <v>28.521272421524664</v>
      </c>
      <c r="T29" s="30">
        <f t="shared" si="57"/>
        <v>28.310762331838568</v>
      </c>
      <c r="U29" s="29">
        <f t="shared" si="115"/>
        <v>29.039013452914798</v>
      </c>
      <c r="V29" s="30">
        <f t="shared" si="57"/>
        <v>29.094485706278022</v>
      </c>
      <c r="W29" s="29">
        <f t="shared" si="115"/>
        <v>30.004799607623312</v>
      </c>
      <c r="X29" s="30">
        <f t="shared" si="57"/>
        <v>29.76868693946188</v>
      </c>
      <c r="Y29" s="29">
        <f t="shared" si="115"/>
        <v>30.496938060538113</v>
      </c>
      <c r="Z29" s="30">
        <f t="shared" si="57"/>
        <v>30.666199551569498</v>
      </c>
      <c r="AA29" s="29">
        <f t="shared" si="115"/>
        <v>31.030325112107619</v>
      </c>
      <c r="AB29" s="30">
        <f t="shared" si="57"/>
        <v>30.813414377802694</v>
      </c>
      <c r="AC29" s="29">
        <f t="shared" si="94"/>
        <v>31.450634108744396</v>
      </c>
      <c r="AD29" s="30">
        <f t="shared" si="59"/>
        <v>31.681590702073986</v>
      </c>
      <c r="AE29" s="29">
        <f t="shared" si="94"/>
        <v>32.500873213284748</v>
      </c>
      <c r="AF29" s="30">
        <f t="shared" si="59"/>
        <v>32.281473339405835</v>
      </c>
      <c r="AG29" s="29">
        <f t="shared" si="94"/>
        <v>33.555912801289239</v>
      </c>
      <c r="AH29" s="30">
        <f t="shared" si="59"/>
        <v>33.822850796139292</v>
      </c>
      <c r="AI29" s="29">
        <f t="shared" si="94"/>
        <v>34.733164697484582</v>
      </c>
      <c r="AJ29" s="30">
        <f t="shared" si="59"/>
        <v>34.513759267490542</v>
      </c>
      <c r="AK29" s="29">
        <f t="shared" si="94"/>
        <v>35.059947608297726</v>
      </c>
      <c r="AL29" s="30">
        <f t="shared" si="59"/>
        <v>35.317912477228141</v>
      </c>
      <c r="AM29" s="29">
        <f t="shared" si="94"/>
        <v>35.682038037766254</v>
      </c>
      <c r="AN29" s="30">
        <f t="shared" si="59"/>
        <v>35.441204060781168</v>
      </c>
      <c r="AO29" s="29">
        <f t="shared" si="94"/>
        <v>35.987392401588345</v>
      </c>
      <c r="AP29" s="30">
        <f t="shared" si="59"/>
        <v>36.239856716549454</v>
      </c>
      <c r="AQ29" s="29">
        <f t="shared" si="94"/>
        <v>36.421919496818504</v>
      </c>
      <c r="AR29" s="30">
        <f t="shared" si="59"/>
        <v>36.20288111767961</v>
      </c>
      <c r="AS29" s="29">
        <f t="shared" si="102"/>
        <v>36.384943897948673</v>
      </c>
      <c r="AT29" s="30">
        <f t="shared" si="53"/>
        <v>36.650815813209974</v>
      </c>
      <c r="AU29" s="29">
        <f t="shared" si="102"/>
        <v>37.197004154017151</v>
      </c>
      <c r="AV29" s="30">
        <f t="shared" si="53"/>
        <v>36.97991892297172</v>
      </c>
      <c r="AW29" s="29">
        <f t="shared" si="102"/>
        <v>37.253013093375301</v>
      </c>
      <c r="AX29" s="30">
        <f t="shared" si="53"/>
        <v>37.520171596544202</v>
      </c>
      <c r="AY29" s="29">
        <f t="shared" si="102"/>
        <v>37.79326576694779</v>
      </c>
      <c r="AZ29" s="30">
        <f t="shared" si="53"/>
        <v>37.586853767938145</v>
      </c>
      <c r="BA29" s="29">
        <f t="shared" si="102"/>
        <v>37.768916548207201</v>
      </c>
      <c r="BB29" s="30">
        <f t="shared" si="55"/>
        <v>38.017469097680568</v>
      </c>
      <c r="BC29" s="29">
        <f t="shared" si="102"/>
        <v>38.199531877949632</v>
      </c>
      <c r="BD29" s="30">
        <f t="shared" si="55"/>
        <v>37.989229089957192</v>
      </c>
      <c r="BE29" s="29">
        <f t="shared" si="102"/>
        <v>38.171291870226248</v>
      </c>
      <c r="BF29" s="30">
        <f t="shared" si="55"/>
        <v>38.420011482965784</v>
      </c>
      <c r="BG29" s="29">
        <f t="shared" si="102"/>
        <v>38.511042873100308</v>
      </c>
      <c r="BH29" s="30">
        <f t="shared" si="55"/>
        <v>38.30116230373693</v>
      </c>
      <c r="BI29" s="29">
        <f t="shared" si="110"/>
        <v>38.392193693871462</v>
      </c>
    </row>
    <row r="30" spans="2:61" x14ac:dyDescent="0.3">
      <c r="B30" s="23"/>
      <c r="C30" s="14">
        <f t="shared" si="48"/>
        <v>2.9999999999999956</v>
      </c>
      <c r="D30" s="60"/>
      <c r="E30" s="31">
        <f t="shared" si="49"/>
        <v>2.9999999999999956</v>
      </c>
      <c r="F30" s="28">
        <v>0</v>
      </c>
      <c r="G30" s="29">
        <f t="shared" si="111"/>
        <v>16.385650224215247</v>
      </c>
      <c r="H30" s="5">
        <f t="shared" si="112"/>
        <v>16.385650224215247</v>
      </c>
      <c r="I30" s="29">
        <f t="shared" si="113"/>
        <v>20.026905829596412</v>
      </c>
      <c r="J30" s="28">
        <f t="shared" si="86"/>
        <v>20.026905829596412</v>
      </c>
      <c r="K30" s="29">
        <f t="shared" si="114"/>
        <v>24.032286995515694</v>
      </c>
      <c r="L30" s="30">
        <f t="shared" si="51"/>
        <v>24.032286995515694</v>
      </c>
      <c r="M30" s="29">
        <f t="shared" si="115"/>
        <v>25.306726457399105</v>
      </c>
      <c r="N30" s="30">
        <f t="shared" si="57"/>
        <v>25.306726457399105</v>
      </c>
      <c r="O30" s="29">
        <f t="shared" si="110"/>
        <v>26.945291479820629</v>
      </c>
      <c r="P30" s="30">
        <f t="shared" si="57"/>
        <v>26.433239910313901</v>
      </c>
      <c r="Q30" s="29">
        <f t="shared" si="110"/>
        <v>28.071804932735425</v>
      </c>
      <c r="R30" s="30">
        <f t="shared" si="57"/>
        <v>27.958015695067267</v>
      </c>
      <c r="S30" s="29">
        <f t="shared" si="110"/>
        <v>29.414517937219735</v>
      </c>
      <c r="T30" s="30">
        <f t="shared" si="57"/>
        <v>29.152802690582959</v>
      </c>
      <c r="U30" s="29">
        <f t="shared" si="110"/>
        <v>29.881053811659189</v>
      </c>
      <c r="V30" s="30">
        <f t="shared" si="57"/>
        <v>29.747351457399102</v>
      </c>
      <c r="W30" s="29">
        <f t="shared" si="110"/>
        <v>30.657665358744392</v>
      </c>
      <c r="X30" s="30">
        <f t="shared" si="57"/>
        <v>30.587969450672638</v>
      </c>
      <c r="Y30" s="29">
        <f t="shared" si="110"/>
        <v>31.316220571748872</v>
      </c>
      <c r="Z30" s="30">
        <f t="shared" si="57"/>
        <v>31.157626821748877</v>
      </c>
      <c r="AA30" s="29">
        <f t="shared" si="110"/>
        <v>31.521752382286998</v>
      </c>
      <c r="AB30" s="30">
        <f t="shared" si="57"/>
        <v>31.556600336322866</v>
      </c>
      <c r="AC30" s="29">
        <f t="shared" si="110"/>
        <v>32.193820067264568</v>
      </c>
      <c r="AD30" s="30">
        <f t="shared" si="59"/>
        <v>32.033803951793722</v>
      </c>
      <c r="AE30" s="29">
        <f t="shared" si="110"/>
        <v>32.853086463004487</v>
      </c>
      <c r="AF30" s="30">
        <f t="shared" si="59"/>
        <v>32.954741145249436</v>
      </c>
      <c r="AG30" s="29">
        <f t="shared" si="110"/>
        <v>34.229180607132839</v>
      </c>
      <c r="AH30" s="30">
        <f t="shared" si="59"/>
        <v>34.062663836970991</v>
      </c>
      <c r="AI30" s="29">
        <f t="shared" si="110"/>
        <v>34.972977738316281</v>
      </c>
      <c r="AJ30" s="30">
        <f t="shared" si="59"/>
        <v>35.119636953037407</v>
      </c>
      <c r="AK30" s="29">
        <f t="shared" si="110"/>
        <v>35.665825293844591</v>
      </c>
      <c r="AL30" s="30">
        <f t="shared" si="59"/>
        <v>35.49374685244711</v>
      </c>
      <c r="AM30" s="29">
        <f t="shared" si="110"/>
        <v>35.857872412985223</v>
      </c>
      <c r="AN30" s="30">
        <f t="shared" si="59"/>
        <v>36.020399892490538</v>
      </c>
      <c r="AO30" s="29">
        <f t="shared" si="110"/>
        <v>36.566588233297715</v>
      </c>
      <c r="AP30" s="30">
        <f t="shared" si="59"/>
        <v>36.378453313716335</v>
      </c>
      <c r="AQ30" s="29">
        <f t="shared" si="110"/>
        <v>36.560516093985385</v>
      </c>
      <c r="AR30" s="30">
        <f t="shared" si="59"/>
        <v>36.731856961100618</v>
      </c>
      <c r="AS30" s="29">
        <f t="shared" si="110"/>
        <v>36.913919741369682</v>
      </c>
      <c r="AT30" s="30">
        <f t="shared" si="53"/>
        <v>36.728827142073975</v>
      </c>
      <c r="AU30" s="29">
        <f t="shared" si="110"/>
        <v>37.275015482881152</v>
      </c>
      <c r="AV30" s="30">
        <f t="shared" si="53"/>
        <v>37.460509164237116</v>
      </c>
      <c r="AW30" s="29">
        <f t="shared" si="110"/>
        <v>37.733603334640698</v>
      </c>
      <c r="AX30" s="30">
        <f t="shared" si="53"/>
        <v>37.545934303993604</v>
      </c>
      <c r="AY30" s="29">
        <f t="shared" si="110"/>
        <v>37.819028474397193</v>
      </c>
      <c r="AZ30" s="30">
        <f t="shared" si="53"/>
        <v>38.012428768012548</v>
      </c>
      <c r="BA30" s="29">
        <f t="shared" si="110"/>
        <v>38.194491548281604</v>
      </c>
      <c r="BB30" s="30">
        <f t="shared" si="55"/>
        <v>38.008331675700546</v>
      </c>
      <c r="BC30" s="29">
        <f t="shared" si="110"/>
        <v>38.19039445596961</v>
      </c>
      <c r="BD30" s="30">
        <f t="shared" si="55"/>
        <v>38.379734944014274</v>
      </c>
      <c r="BE30" s="29">
        <f t="shared" si="110"/>
        <v>38.561797724283331</v>
      </c>
      <c r="BF30" s="30">
        <f t="shared" si="55"/>
        <v>38.371224272438241</v>
      </c>
      <c r="BG30" s="29">
        <f t="shared" si="110"/>
        <v>38.462255662572765</v>
      </c>
      <c r="BH30" s="30">
        <f t="shared" si="55"/>
        <v>38.653231135157725</v>
      </c>
      <c r="BI30" s="29">
        <f t="shared" si="110"/>
        <v>38.744262525292257</v>
      </c>
    </row>
    <row r="31" spans="2:61" x14ac:dyDescent="0.3">
      <c r="B31" s="23"/>
      <c r="C31" s="14">
        <f t="shared" si="48"/>
        <v>2.7999999999999954</v>
      </c>
      <c r="D31" s="60"/>
      <c r="E31" s="31">
        <f t="shared" si="49"/>
        <v>2.7999999999999954</v>
      </c>
      <c r="F31" s="28">
        <v>0</v>
      </c>
      <c r="G31" s="29">
        <f t="shared" si="111"/>
        <v>16.385650224215247</v>
      </c>
      <c r="H31" s="5">
        <f t="shared" si="112"/>
        <v>16.385650224215247</v>
      </c>
      <c r="I31" s="29">
        <f t="shared" si="113"/>
        <v>20.026905829596412</v>
      </c>
      <c r="J31" s="28">
        <f t="shared" si="86"/>
        <v>20.026905829596412</v>
      </c>
      <c r="K31" s="29">
        <f t="shared" si="114"/>
        <v>24.032286995515694</v>
      </c>
      <c r="L31" s="30">
        <f t="shared" si="51"/>
        <v>24.032286995515694</v>
      </c>
      <c r="M31" s="29">
        <f t="shared" si="115"/>
        <v>25.306726457399105</v>
      </c>
      <c r="N31" s="30">
        <f t="shared" si="57"/>
        <v>25.306726457399105</v>
      </c>
      <c r="O31" s="29">
        <f t="shared" si="110"/>
        <v>26.945291479820629</v>
      </c>
      <c r="P31" s="30">
        <f t="shared" si="57"/>
        <v>26.945291479820629</v>
      </c>
      <c r="Q31" s="29">
        <f t="shared" si="110"/>
        <v>28.583856502242153</v>
      </c>
      <c r="R31" s="30">
        <f t="shared" si="57"/>
        <v>28.327830717488787</v>
      </c>
      <c r="S31" s="29">
        <f t="shared" si="110"/>
        <v>29.784332959641254</v>
      </c>
      <c r="T31" s="30">
        <f t="shared" si="57"/>
        <v>29.727438340807176</v>
      </c>
      <c r="U31" s="29">
        <f t="shared" si="110"/>
        <v>30.455689461883406</v>
      </c>
      <c r="V31" s="30">
        <f t="shared" si="57"/>
        <v>30.260825392376677</v>
      </c>
      <c r="W31" s="29">
        <f t="shared" si="110"/>
        <v>31.171139293721968</v>
      </c>
      <c r="X31" s="30">
        <f t="shared" si="57"/>
        <v>31.090064461883408</v>
      </c>
      <c r="Y31" s="29">
        <f t="shared" si="110"/>
        <v>31.818315582959642</v>
      </c>
      <c r="Z31" s="30">
        <f t="shared" si="57"/>
        <v>31.718749999999993</v>
      </c>
      <c r="AA31" s="29">
        <f t="shared" si="110"/>
        <v>32.082875560538113</v>
      </c>
      <c r="AB31" s="30">
        <f t="shared" si="57"/>
        <v>31.979754063901346</v>
      </c>
      <c r="AC31" s="29">
        <f t="shared" si="110"/>
        <v>32.616973794843048</v>
      </c>
      <c r="AD31" s="30">
        <f t="shared" si="59"/>
        <v>32.589326566003358</v>
      </c>
      <c r="AE31" s="29">
        <f t="shared" si="110"/>
        <v>33.408609077214123</v>
      </c>
      <c r="AF31" s="30">
        <f t="shared" si="59"/>
        <v>33.294975410769339</v>
      </c>
      <c r="AG31" s="29">
        <f t="shared" si="110"/>
        <v>34.569414872652743</v>
      </c>
      <c r="AH31" s="30">
        <f t="shared" si="59"/>
        <v>34.595795307244941</v>
      </c>
      <c r="AI31" s="29">
        <f t="shared" si="110"/>
        <v>35.506109208590232</v>
      </c>
      <c r="AJ31" s="30">
        <f t="shared" si="59"/>
        <v>35.38135775578931</v>
      </c>
      <c r="AK31" s="29">
        <f t="shared" si="110"/>
        <v>35.927546096596494</v>
      </c>
      <c r="AL31" s="30">
        <f t="shared" si="59"/>
        <v>35.994636186676708</v>
      </c>
      <c r="AM31" s="29">
        <f t="shared" si="110"/>
        <v>36.358761747214821</v>
      </c>
      <c r="AN31" s="30">
        <f t="shared" si="59"/>
        <v>36.223325885037141</v>
      </c>
      <c r="AO31" s="29">
        <f t="shared" si="110"/>
        <v>36.769514225844318</v>
      </c>
      <c r="AP31" s="30">
        <f t="shared" si="59"/>
        <v>36.859731645113683</v>
      </c>
      <c r="AQ31" s="29">
        <f t="shared" si="110"/>
        <v>37.041794425382733</v>
      </c>
      <c r="AR31" s="30">
        <f t="shared" si="59"/>
        <v>36.890647605930212</v>
      </c>
      <c r="AS31" s="29">
        <f t="shared" si="110"/>
        <v>37.072710386199276</v>
      </c>
      <c r="AT31" s="30">
        <f t="shared" si="53"/>
        <v>37.177825833649905</v>
      </c>
      <c r="AU31" s="29">
        <f t="shared" si="110"/>
        <v>37.724014174457082</v>
      </c>
      <c r="AV31" s="30">
        <f t="shared" si="53"/>
        <v>37.565761344208319</v>
      </c>
      <c r="AW31" s="29">
        <f t="shared" si="110"/>
        <v>37.8388555146119</v>
      </c>
      <c r="AX31" s="30">
        <f t="shared" si="53"/>
        <v>37.958497598673716</v>
      </c>
      <c r="AY31" s="29">
        <f t="shared" si="110"/>
        <v>38.231591769077305</v>
      </c>
      <c r="AZ31" s="30">
        <f t="shared" si="53"/>
        <v>38.065684022924827</v>
      </c>
      <c r="BA31" s="29">
        <f t="shared" si="110"/>
        <v>38.247746803193884</v>
      </c>
      <c r="BB31" s="30">
        <f t="shared" si="55"/>
        <v>38.377875229809845</v>
      </c>
      <c r="BC31" s="29">
        <f t="shared" si="110"/>
        <v>38.559938010078909</v>
      </c>
      <c r="BD31" s="30">
        <f t="shared" si="55"/>
        <v>38.389093894381169</v>
      </c>
      <c r="BE31" s="29">
        <f t="shared" si="110"/>
        <v>38.571156674650226</v>
      </c>
      <c r="BF31" s="30">
        <f t="shared" si="55"/>
        <v>38.70438800708061</v>
      </c>
      <c r="BG31" s="29">
        <f t="shared" si="110"/>
        <v>38.795419397215134</v>
      </c>
      <c r="BH31" s="30">
        <f t="shared" si="55"/>
        <v>38.617877555655262</v>
      </c>
      <c r="BI31" s="29">
        <f t="shared" si="110"/>
        <v>38.708908945789794</v>
      </c>
    </row>
    <row r="32" spans="2:61" x14ac:dyDescent="0.3">
      <c r="B32" s="23"/>
      <c r="C32" s="14">
        <f t="shared" si="48"/>
        <v>2.5999999999999952</v>
      </c>
      <c r="D32" s="60"/>
      <c r="E32" s="31">
        <f t="shared" si="49"/>
        <v>2.5999999999999952</v>
      </c>
      <c r="F32" s="28">
        <v>0</v>
      </c>
      <c r="G32" s="29">
        <f t="shared" si="111"/>
        <v>16.385650224215247</v>
      </c>
      <c r="H32" s="5">
        <f t="shared" si="112"/>
        <v>16.385650224215247</v>
      </c>
      <c r="I32" s="29">
        <f t="shared" si="113"/>
        <v>20.026905829596412</v>
      </c>
      <c r="J32" s="28">
        <f t="shared" si="86"/>
        <v>20.026905829596412</v>
      </c>
      <c r="K32" s="29">
        <f t="shared" si="114"/>
        <v>24.032286995515694</v>
      </c>
      <c r="L32" s="30">
        <f t="shared" si="51"/>
        <v>24.032286995515694</v>
      </c>
      <c r="M32" s="29">
        <f t="shared" si="115"/>
        <v>25.306726457399105</v>
      </c>
      <c r="N32" s="30">
        <f t="shared" si="57"/>
        <v>25.306726457399105</v>
      </c>
      <c r="O32" s="29">
        <f t="shared" si="110"/>
        <v>26.945291479820629</v>
      </c>
      <c r="P32" s="30">
        <f t="shared" si="57"/>
        <v>26.945291479820629</v>
      </c>
      <c r="Q32" s="29">
        <f t="shared" si="110"/>
        <v>28.583856502242153</v>
      </c>
      <c r="R32" s="30">
        <f t="shared" si="57"/>
        <v>28.583856502242153</v>
      </c>
      <c r="S32" s="29">
        <f t="shared" si="110"/>
        <v>30.04035874439462</v>
      </c>
      <c r="T32" s="30">
        <f t="shared" si="57"/>
        <v>29.912345852017935</v>
      </c>
      <c r="U32" s="29">
        <f t="shared" si="110"/>
        <v>30.640596973094166</v>
      </c>
      <c r="V32" s="30">
        <f t="shared" si="57"/>
        <v>30.61214966367713</v>
      </c>
      <c r="W32" s="29">
        <f t="shared" si="110"/>
        <v>31.52246356502242</v>
      </c>
      <c r="X32" s="30">
        <f t="shared" si="57"/>
        <v>31.39302830717488</v>
      </c>
      <c r="Y32" s="29">
        <f t="shared" si="110"/>
        <v>32.121279428251114</v>
      </c>
      <c r="Z32" s="30">
        <f t="shared" si="57"/>
        <v>32.073630184977574</v>
      </c>
      <c r="AA32" s="29">
        <f t="shared" si="110"/>
        <v>32.437755745515695</v>
      </c>
      <c r="AB32" s="30">
        <f t="shared" si="57"/>
        <v>32.347613333800446</v>
      </c>
      <c r="AC32" s="29">
        <f t="shared" si="110"/>
        <v>32.984833064742148</v>
      </c>
      <c r="AD32" s="30">
        <f t="shared" si="59"/>
        <v>32.917581847323433</v>
      </c>
      <c r="AE32" s="29">
        <f t="shared" si="110"/>
        <v>33.736864358534199</v>
      </c>
      <c r="AF32" s="30">
        <f t="shared" si="59"/>
        <v>33.687970545473647</v>
      </c>
      <c r="AG32" s="29">
        <f t="shared" si="110"/>
        <v>34.96241000735705</v>
      </c>
      <c r="AH32" s="30">
        <f t="shared" si="59"/>
        <v>34.879423871917041</v>
      </c>
      <c r="AI32" s="29">
        <f t="shared" si="110"/>
        <v>35.789737773262331</v>
      </c>
      <c r="AJ32" s="30">
        <f t="shared" si="59"/>
        <v>35.77725873870164</v>
      </c>
      <c r="AK32" s="29">
        <f t="shared" si="110"/>
        <v>36.323447079508824</v>
      </c>
      <c r="AL32" s="30">
        <f t="shared" si="59"/>
        <v>36.224653796550946</v>
      </c>
      <c r="AM32" s="29">
        <f t="shared" si="110"/>
        <v>36.588779357089059</v>
      </c>
      <c r="AN32" s="30">
        <f t="shared" si="59"/>
        <v>36.606686716122468</v>
      </c>
      <c r="AO32" s="29">
        <f t="shared" si="110"/>
        <v>37.152875056929645</v>
      </c>
      <c r="AP32" s="30">
        <f t="shared" si="59"/>
        <v>37.038716337605983</v>
      </c>
      <c r="AQ32" s="29">
        <f t="shared" si="110"/>
        <v>37.220779117875033</v>
      </c>
      <c r="AR32" s="30">
        <f t="shared" si="59"/>
        <v>37.259669145661071</v>
      </c>
      <c r="AS32" s="29">
        <f t="shared" si="110"/>
        <v>37.441731925930135</v>
      </c>
      <c r="AT32" s="30">
        <f t="shared" si="53"/>
        <v>37.310318864728309</v>
      </c>
      <c r="AU32" s="29">
        <f t="shared" si="110"/>
        <v>37.856507205535486</v>
      </c>
      <c r="AV32" s="30">
        <f t="shared" si="53"/>
        <v>37.91029769230316</v>
      </c>
      <c r="AW32" s="29">
        <f t="shared" si="110"/>
        <v>38.183391862706742</v>
      </c>
      <c r="AX32" s="30">
        <f t="shared" si="53"/>
        <v>38.039245401048873</v>
      </c>
      <c r="AY32" s="29">
        <f t="shared" si="110"/>
        <v>38.312339571452462</v>
      </c>
      <c r="AZ32" s="30">
        <f t="shared" si="53"/>
        <v>38.379196131069023</v>
      </c>
      <c r="BA32" s="29">
        <f t="shared" si="110"/>
        <v>38.561258911338079</v>
      </c>
      <c r="BB32" s="30">
        <f t="shared" si="55"/>
        <v>38.405730552523664</v>
      </c>
      <c r="BC32" s="29">
        <f t="shared" si="110"/>
        <v>38.587793332792728</v>
      </c>
      <c r="BD32" s="30">
        <f t="shared" si="55"/>
        <v>38.664915509608832</v>
      </c>
      <c r="BE32" s="29">
        <f t="shared" si="110"/>
        <v>38.846978289877889</v>
      </c>
      <c r="BF32" s="30">
        <f t="shared" si="55"/>
        <v>38.682468058603234</v>
      </c>
      <c r="BG32" s="29">
        <f t="shared" si="110"/>
        <v>38.773499448737759</v>
      </c>
      <c r="BH32" s="30">
        <f t="shared" si="55"/>
        <v>38.856356119641802</v>
      </c>
      <c r="BI32" s="29">
        <f t="shared" si="110"/>
        <v>38.947387509776334</v>
      </c>
    </row>
    <row r="33" spans="2:61" x14ac:dyDescent="0.3">
      <c r="B33" s="23"/>
      <c r="C33" s="14">
        <f t="shared" si="48"/>
        <v>2.399999999999995</v>
      </c>
      <c r="D33" s="60"/>
      <c r="E33" s="31">
        <f t="shared" si="49"/>
        <v>2.399999999999995</v>
      </c>
      <c r="F33" s="28">
        <v>0</v>
      </c>
      <c r="G33" s="29">
        <f t="shared" si="111"/>
        <v>16.385650224215247</v>
      </c>
      <c r="H33" s="5">
        <f t="shared" si="112"/>
        <v>16.385650224215247</v>
      </c>
      <c r="I33" s="29">
        <f t="shared" si="113"/>
        <v>20.026905829596412</v>
      </c>
      <c r="J33" s="28">
        <f t="shared" si="86"/>
        <v>20.026905829596412</v>
      </c>
      <c r="K33" s="29">
        <f t="shared" si="114"/>
        <v>24.032286995515694</v>
      </c>
      <c r="L33" s="30">
        <f t="shared" si="51"/>
        <v>24.032286995515694</v>
      </c>
      <c r="M33" s="29">
        <f t="shared" si="115"/>
        <v>25.306726457399105</v>
      </c>
      <c r="N33" s="30">
        <f t="shared" si="57"/>
        <v>25.306726457399105</v>
      </c>
      <c r="O33" s="29">
        <f t="shared" si="110"/>
        <v>26.945291479820629</v>
      </c>
      <c r="P33" s="30">
        <f t="shared" si="57"/>
        <v>26.945291479820629</v>
      </c>
      <c r="Q33" s="29">
        <f t="shared" si="110"/>
        <v>28.583856502242153</v>
      </c>
      <c r="R33" s="30">
        <f t="shared" si="57"/>
        <v>28.583856502242153</v>
      </c>
      <c r="S33" s="29">
        <f t="shared" si="110"/>
        <v>30.04035874439462</v>
      </c>
      <c r="T33" s="30">
        <f t="shared" si="57"/>
        <v>30.04035874439462</v>
      </c>
      <c r="U33" s="29">
        <f t="shared" si="110"/>
        <v>30.76860986547085</v>
      </c>
      <c r="V33" s="30">
        <f t="shared" si="57"/>
        <v>30.704603419282506</v>
      </c>
      <c r="W33" s="29">
        <f t="shared" si="110"/>
        <v>31.614917320627796</v>
      </c>
      <c r="X33" s="30">
        <f t="shared" si="57"/>
        <v>31.60069366591928</v>
      </c>
      <c r="Y33" s="29">
        <f t="shared" si="110"/>
        <v>32.328944786995514</v>
      </c>
      <c r="Z33" s="30">
        <f t="shared" si="57"/>
        <v>32.248225546524658</v>
      </c>
      <c r="AA33" s="29">
        <f t="shared" si="110"/>
        <v>32.612351107062779</v>
      </c>
      <c r="AB33" s="30">
        <f t="shared" si="57"/>
        <v>32.580970168862109</v>
      </c>
      <c r="AC33" s="29">
        <f t="shared" si="110"/>
        <v>33.218189899803811</v>
      </c>
      <c r="AD33" s="30">
        <f t="shared" si="59"/>
        <v>33.148049502522412</v>
      </c>
      <c r="AE33" s="29">
        <f t="shared" si="110"/>
        <v>33.967332013733177</v>
      </c>
      <c r="AF33" s="30">
        <f t="shared" si="59"/>
        <v>33.914993409297928</v>
      </c>
      <c r="AG33" s="29">
        <f t="shared" si="110"/>
        <v>35.189432871181332</v>
      </c>
      <c r="AH33" s="30">
        <f t="shared" si="59"/>
        <v>35.138094367467758</v>
      </c>
      <c r="AI33" s="29">
        <f t="shared" si="110"/>
        <v>36.048408268813048</v>
      </c>
      <c r="AJ33" s="30">
        <f t="shared" si="59"/>
        <v>35.975573155698214</v>
      </c>
      <c r="AK33" s="29">
        <f t="shared" si="110"/>
        <v>36.521761496505398</v>
      </c>
      <c r="AL33" s="30">
        <f t="shared" si="59"/>
        <v>36.490486124492008</v>
      </c>
      <c r="AM33" s="29">
        <f t="shared" si="110"/>
        <v>36.854611685030122</v>
      </c>
      <c r="AN33" s="30">
        <f t="shared" si="59"/>
        <v>36.761730108560471</v>
      </c>
      <c r="AO33" s="29">
        <f t="shared" si="110"/>
        <v>37.307918449367648</v>
      </c>
      <c r="AP33" s="30">
        <f t="shared" si="59"/>
        <v>37.29548108567036</v>
      </c>
      <c r="AQ33" s="29">
        <f t="shared" si="110"/>
        <v>37.47754386593941</v>
      </c>
      <c r="AR33" s="30">
        <f t="shared" si="59"/>
        <v>37.365864562988278</v>
      </c>
      <c r="AS33" s="29">
        <f t="shared" si="110"/>
        <v>37.547927343257342</v>
      </c>
      <c r="AT33" s="30">
        <f t="shared" si="53"/>
        <v>37.550392869342062</v>
      </c>
      <c r="AU33" s="29">
        <f t="shared" si="110"/>
        <v>38.096581210149239</v>
      </c>
      <c r="AV33" s="30">
        <f t="shared" si="53"/>
        <v>37.966541117082272</v>
      </c>
      <c r="AW33" s="29">
        <f t="shared" si="110"/>
        <v>38.239635287485854</v>
      </c>
      <c r="AX33" s="30">
        <f t="shared" si="53"/>
        <v>38.253706322657145</v>
      </c>
      <c r="AY33" s="29">
        <f t="shared" si="110"/>
        <v>38.526800493060733</v>
      </c>
      <c r="AZ33" s="30">
        <f t="shared" si="53"/>
        <v>38.381651521584381</v>
      </c>
      <c r="BA33" s="29">
        <f t="shared" si="110"/>
        <v>38.563714301853437</v>
      </c>
      <c r="BB33" s="30">
        <f t="shared" si="55"/>
        <v>38.587830228869684</v>
      </c>
      <c r="BC33" s="29">
        <f t="shared" si="110"/>
        <v>38.769893009138748</v>
      </c>
      <c r="BD33" s="30">
        <f t="shared" si="55"/>
        <v>38.611716662287186</v>
      </c>
      <c r="BE33" s="29">
        <f t="shared" si="110"/>
        <v>38.793779442556243</v>
      </c>
      <c r="BF33" s="30">
        <f t="shared" si="55"/>
        <v>38.826261451933952</v>
      </c>
      <c r="BG33" s="29">
        <f t="shared" si="110"/>
        <v>38.917292842068477</v>
      </c>
      <c r="BH33" s="30">
        <f t="shared" si="55"/>
        <v>38.7485107463772</v>
      </c>
      <c r="BI33" s="29">
        <f t="shared" si="110"/>
        <v>38.839542136511731</v>
      </c>
    </row>
    <row r="34" spans="2:61" x14ac:dyDescent="0.3">
      <c r="B34" s="23"/>
      <c r="C34" s="14">
        <f t="shared" si="48"/>
        <v>2.1999999999999948</v>
      </c>
      <c r="D34" s="60"/>
      <c r="E34" s="31">
        <f t="shared" si="49"/>
        <v>2.1999999999999948</v>
      </c>
      <c r="F34" s="28">
        <v>0</v>
      </c>
      <c r="G34" s="29">
        <f t="shared" si="111"/>
        <v>16.385650224215247</v>
      </c>
      <c r="H34" s="5">
        <f t="shared" si="112"/>
        <v>16.385650224215247</v>
      </c>
      <c r="I34" s="29">
        <f t="shared" si="113"/>
        <v>20.026905829596412</v>
      </c>
      <c r="J34" s="28">
        <f t="shared" si="86"/>
        <v>20.026905829596412</v>
      </c>
      <c r="K34" s="29">
        <f t="shared" si="114"/>
        <v>24.032286995515694</v>
      </c>
      <c r="L34" s="30">
        <f t="shared" si="51"/>
        <v>24.032286995515694</v>
      </c>
      <c r="M34" s="29">
        <f t="shared" si="115"/>
        <v>25.306726457399105</v>
      </c>
      <c r="N34" s="30">
        <f t="shared" si="57"/>
        <v>25.306726457399105</v>
      </c>
      <c r="O34" s="29">
        <f t="shared" si="110"/>
        <v>26.945291479820629</v>
      </c>
      <c r="P34" s="30">
        <f t="shared" si="57"/>
        <v>26.945291479820629</v>
      </c>
      <c r="Q34" s="29">
        <f t="shared" si="110"/>
        <v>28.583856502242153</v>
      </c>
      <c r="R34" s="30">
        <f t="shared" si="57"/>
        <v>28.583856502242153</v>
      </c>
      <c r="S34" s="29">
        <f t="shared" si="110"/>
        <v>30.04035874439462</v>
      </c>
      <c r="T34" s="30">
        <f t="shared" si="57"/>
        <v>30.04035874439462</v>
      </c>
      <c r="U34" s="29">
        <f t="shared" si="110"/>
        <v>30.76860986547085</v>
      </c>
      <c r="V34" s="30">
        <f t="shared" si="57"/>
        <v>30.76860986547085</v>
      </c>
      <c r="W34" s="29">
        <f t="shared" si="110"/>
        <v>31.678923766816141</v>
      </c>
      <c r="X34" s="30">
        <f t="shared" si="57"/>
        <v>31.646920543721968</v>
      </c>
      <c r="Y34" s="29">
        <f t="shared" si="110"/>
        <v>32.375171664798202</v>
      </c>
      <c r="Z34" s="30">
        <f t="shared" si="57"/>
        <v>32.360059031670403</v>
      </c>
      <c r="AA34" s="29">
        <f t="shared" si="110"/>
        <v>32.724184592208523</v>
      </c>
      <c r="AB34" s="30">
        <f t="shared" si="57"/>
        <v>32.674046209360981</v>
      </c>
      <c r="AC34" s="29">
        <f t="shared" si="110"/>
        <v>33.311265940302683</v>
      </c>
      <c r="AD34" s="30">
        <f t="shared" si="59"/>
        <v>33.273839948850892</v>
      </c>
      <c r="AE34" s="29">
        <f t="shared" si="110"/>
        <v>34.093122460061657</v>
      </c>
      <c r="AF34" s="30">
        <f t="shared" si="59"/>
        <v>34.039339265695062</v>
      </c>
      <c r="AG34" s="29">
        <f t="shared" si="110"/>
        <v>35.313778727578466</v>
      </c>
      <c r="AH34" s="30">
        <f t="shared" si="59"/>
        <v>35.251094636788814</v>
      </c>
      <c r="AI34" s="29">
        <f t="shared" si="110"/>
        <v>36.161408538134104</v>
      </c>
      <c r="AJ34" s="30">
        <f t="shared" si="59"/>
        <v>36.111336828668009</v>
      </c>
      <c r="AK34" s="29">
        <f t="shared" si="110"/>
        <v>36.657525169475193</v>
      </c>
      <c r="AL34" s="30">
        <f t="shared" si="59"/>
        <v>36.570555299493769</v>
      </c>
      <c r="AM34" s="29">
        <f t="shared" si="110"/>
        <v>36.934680860031882</v>
      </c>
      <c r="AN34" s="30">
        <f t="shared" si="59"/>
        <v>36.891898773603906</v>
      </c>
      <c r="AO34" s="29">
        <f t="shared" si="110"/>
        <v>37.438087114411083</v>
      </c>
      <c r="AP34" s="30">
        <f t="shared" si="59"/>
        <v>37.328887227832475</v>
      </c>
      <c r="AQ34" s="29">
        <f t="shared" si="110"/>
        <v>37.510950008101524</v>
      </c>
      <c r="AR34" s="30">
        <f t="shared" si="59"/>
        <v>37.476991032484925</v>
      </c>
      <c r="AS34" s="29">
        <f t="shared" si="110"/>
        <v>37.659053812753989</v>
      </c>
      <c r="AT34" s="30">
        <f t="shared" si="53"/>
        <v>37.530386687821874</v>
      </c>
      <c r="AU34" s="29">
        <f t="shared" si="110"/>
        <v>38.076575028629051</v>
      </c>
      <c r="AV34" s="30">
        <f t="shared" si="53"/>
        <v>38.050926612203966</v>
      </c>
      <c r="AW34" s="29">
        <f t="shared" si="110"/>
        <v>38.324020782607548</v>
      </c>
      <c r="AX34" s="30">
        <f t="shared" si="53"/>
        <v>38.177869301312711</v>
      </c>
      <c r="AY34" s="29">
        <f t="shared" si="110"/>
        <v>38.4509634717163</v>
      </c>
      <c r="AZ34" s="30">
        <f t="shared" si="53"/>
        <v>38.432338766132233</v>
      </c>
      <c r="BA34" s="29">
        <f t="shared" si="110"/>
        <v>38.61440154640129</v>
      </c>
      <c r="BB34" s="30">
        <f t="shared" si="55"/>
        <v>38.453577211512581</v>
      </c>
      <c r="BC34" s="29">
        <f t="shared" si="110"/>
        <v>38.635639991781645</v>
      </c>
      <c r="BD34" s="30">
        <f t="shared" si="55"/>
        <v>38.623481833720959</v>
      </c>
      <c r="BE34" s="29">
        <f t="shared" si="110"/>
        <v>38.805544613990016</v>
      </c>
      <c r="BF34" s="30">
        <f t="shared" si="55"/>
        <v>38.632490653882115</v>
      </c>
      <c r="BG34" s="29">
        <f t="shared" si="110"/>
        <v>38.72352204401664</v>
      </c>
      <c r="BH34" s="30">
        <f t="shared" si="55"/>
        <v>38.717266753663395</v>
      </c>
      <c r="BI34" s="29">
        <f t="shared" si="110"/>
        <v>38.808298143797927</v>
      </c>
    </row>
    <row r="35" spans="2:61" x14ac:dyDescent="0.3">
      <c r="B35" s="23"/>
      <c r="C35" s="14">
        <f t="shared" si="48"/>
        <v>1.9999999999999949</v>
      </c>
      <c r="D35" s="60"/>
      <c r="E35" s="31">
        <f t="shared" si="49"/>
        <v>1.9999999999999949</v>
      </c>
      <c r="F35" s="28">
        <v>0</v>
      </c>
      <c r="G35" s="29">
        <f t="shared" si="111"/>
        <v>16.385650224215247</v>
      </c>
      <c r="H35" s="5">
        <f t="shared" si="112"/>
        <v>16.385650224215247</v>
      </c>
      <c r="I35" s="29">
        <f t="shared" si="113"/>
        <v>20.026905829596412</v>
      </c>
      <c r="J35" s="28">
        <f t="shared" si="86"/>
        <v>20.026905829596412</v>
      </c>
      <c r="K35" s="29">
        <f t="shared" si="114"/>
        <v>24.032286995515694</v>
      </c>
      <c r="L35" s="30">
        <f t="shared" si="51"/>
        <v>24.032286995515694</v>
      </c>
      <c r="M35" s="29">
        <f t="shared" si="115"/>
        <v>25.306726457399105</v>
      </c>
      <c r="N35" s="30">
        <f t="shared" si="57"/>
        <v>25.306726457399105</v>
      </c>
      <c r="O35" s="29">
        <f t="shared" si="110"/>
        <v>26.945291479820629</v>
      </c>
      <c r="P35" s="30">
        <f t="shared" si="57"/>
        <v>26.945291479820629</v>
      </c>
      <c r="Q35" s="29">
        <f t="shared" si="110"/>
        <v>28.583856502242153</v>
      </c>
      <c r="R35" s="30">
        <f t="shared" si="57"/>
        <v>28.583856502242153</v>
      </c>
      <c r="S35" s="29">
        <f t="shared" si="110"/>
        <v>30.04035874439462</v>
      </c>
      <c r="T35" s="30">
        <f t="shared" si="57"/>
        <v>30.04035874439462</v>
      </c>
      <c r="U35" s="29">
        <f t="shared" si="110"/>
        <v>30.76860986547085</v>
      </c>
      <c r="V35" s="30">
        <f t="shared" si="57"/>
        <v>30.76860986547085</v>
      </c>
      <c r="W35" s="29">
        <f t="shared" si="110"/>
        <v>31.678923766816141</v>
      </c>
      <c r="X35" s="30">
        <f t="shared" si="57"/>
        <v>31.662922155269055</v>
      </c>
      <c r="Y35" s="29">
        <f t="shared" si="110"/>
        <v>32.391173276345285</v>
      </c>
      <c r="Z35" s="30">
        <f t="shared" si="57"/>
        <v>32.37161575112107</v>
      </c>
      <c r="AA35" s="29">
        <f t="shared" si="110"/>
        <v>32.73574131165919</v>
      </c>
      <c r="AB35" s="30">
        <f t="shared" si="57"/>
        <v>32.692270266956278</v>
      </c>
      <c r="AC35" s="29">
        <f t="shared" si="110"/>
        <v>33.32948999789798</v>
      </c>
      <c r="AD35" s="30">
        <f t="shared" si="59"/>
        <v>33.292064006446182</v>
      </c>
      <c r="AE35" s="29">
        <f t="shared" si="110"/>
        <v>34.111346517656948</v>
      </c>
      <c r="AF35" s="30">
        <f t="shared" si="59"/>
        <v>34.038316940512892</v>
      </c>
      <c r="AG35" s="29">
        <f t="shared" si="110"/>
        <v>35.312756402396296</v>
      </c>
      <c r="AH35" s="30">
        <f t="shared" si="59"/>
        <v>35.263951487177678</v>
      </c>
      <c r="AI35" s="29">
        <f t="shared" si="110"/>
        <v>36.174265388522969</v>
      </c>
      <c r="AJ35" s="30">
        <f t="shared" si="59"/>
        <v>36.073160761674956</v>
      </c>
      <c r="AK35" s="29">
        <f t="shared" si="110"/>
        <v>36.61934910248214</v>
      </c>
      <c r="AL35" s="30">
        <f t="shared" si="59"/>
        <v>36.565060301639576</v>
      </c>
      <c r="AM35" s="29">
        <f t="shared" si="110"/>
        <v>36.92918586217769</v>
      </c>
      <c r="AN35" s="30">
        <f t="shared" si="59"/>
        <v>36.803667665490124</v>
      </c>
      <c r="AO35" s="29">
        <f t="shared" si="110"/>
        <v>37.349856006297301</v>
      </c>
      <c r="AP35" s="30">
        <f t="shared" si="59"/>
        <v>37.294375418761391</v>
      </c>
      <c r="AQ35" s="29">
        <f t="shared" si="110"/>
        <v>37.47643819903044</v>
      </c>
      <c r="AR35" s="30">
        <f t="shared" si="59"/>
        <v>37.330783252117342</v>
      </c>
      <c r="AS35" s="29">
        <f t="shared" si="110"/>
        <v>37.512846032386406</v>
      </c>
      <c r="AT35" s="30">
        <f t="shared" ref="AT35:BH50" si="116">(AS36+AS34)/2</f>
        <v>37.459083673451516</v>
      </c>
      <c r="AU35" s="29">
        <f t="shared" si="110"/>
        <v>38.005272014258694</v>
      </c>
      <c r="AV35" s="30">
        <f t="shared" si="116"/>
        <v>37.84300914473598</v>
      </c>
      <c r="AW35" s="29">
        <f t="shared" si="110"/>
        <v>38.116103315139561</v>
      </c>
      <c r="AX35" s="30">
        <f t="shared" si="116"/>
        <v>38.064782868800137</v>
      </c>
      <c r="AY35" s="29">
        <f t="shared" si="110"/>
        <v>38.337877039203725</v>
      </c>
      <c r="AZ35" s="30">
        <f t="shared" si="116"/>
        <v>38.161377340902661</v>
      </c>
      <c r="BA35" s="29">
        <f t="shared" si="110"/>
        <v>38.343440121171717</v>
      </c>
      <c r="BB35" s="30">
        <f t="shared" si="116"/>
        <v>38.295007878034099</v>
      </c>
      <c r="BC35" s="29">
        <f t="shared" si="110"/>
        <v>38.477070658303163</v>
      </c>
      <c r="BD35" s="30">
        <f t="shared" si="116"/>
        <v>38.289139084938938</v>
      </c>
      <c r="BE35" s="29">
        <f t="shared" si="110"/>
        <v>38.471201865207995</v>
      </c>
      <c r="BF35" s="30">
        <f t="shared" si="116"/>
        <v>38.426209275123782</v>
      </c>
      <c r="BG35" s="29">
        <f t="shared" si="110"/>
        <v>38.517240665258306</v>
      </c>
      <c r="BH35" s="30">
        <f t="shared" si="116"/>
        <v>38.320517897545756</v>
      </c>
      <c r="BI35" s="29">
        <f t="shared" si="110"/>
        <v>38.411549287680288</v>
      </c>
    </row>
    <row r="36" spans="2:61" x14ac:dyDescent="0.3">
      <c r="B36" s="23"/>
      <c r="C36" s="14">
        <f t="shared" si="48"/>
        <v>1.7999999999999949</v>
      </c>
      <c r="D36" s="60"/>
      <c r="E36" s="31">
        <f t="shared" si="49"/>
        <v>1.7999999999999949</v>
      </c>
      <c r="F36" s="28">
        <v>0</v>
      </c>
      <c r="G36" s="29">
        <f t="shared" si="111"/>
        <v>16.385650224215247</v>
      </c>
      <c r="H36" s="5">
        <f t="shared" si="112"/>
        <v>16.385650224215247</v>
      </c>
      <c r="I36" s="29">
        <f t="shared" si="113"/>
        <v>20.026905829596412</v>
      </c>
      <c r="J36" s="28">
        <f t="shared" si="86"/>
        <v>20.026905829596412</v>
      </c>
      <c r="K36" s="29">
        <f t="shared" si="114"/>
        <v>24.032286995515694</v>
      </c>
      <c r="L36" s="30">
        <f t="shared" si="51"/>
        <v>24.032286995515694</v>
      </c>
      <c r="M36" s="29">
        <f t="shared" si="115"/>
        <v>25.306726457399105</v>
      </c>
      <c r="N36" s="30">
        <f t="shared" ref="N36:AB51" si="117">(M37+M35)/2</f>
        <v>25.306726457399105</v>
      </c>
      <c r="O36" s="29">
        <f t="shared" si="110"/>
        <v>26.945291479820629</v>
      </c>
      <c r="P36" s="30">
        <f t="shared" si="117"/>
        <v>26.945291479820629</v>
      </c>
      <c r="Q36" s="29">
        <f t="shared" si="110"/>
        <v>28.583856502242153</v>
      </c>
      <c r="R36" s="30">
        <f t="shared" si="117"/>
        <v>28.583856502242153</v>
      </c>
      <c r="S36" s="29">
        <f t="shared" si="110"/>
        <v>30.04035874439462</v>
      </c>
      <c r="T36" s="30">
        <f t="shared" si="117"/>
        <v>30.04035874439462</v>
      </c>
      <c r="U36" s="29">
        <f t="shared" si="110"/>
        <v>30.76860986547085</v>
      </c>
      <c r="V36" s="30">
        <f t="shared" si="117"/>
        <v>30.736606642376678</v>
      </c>
      <c r="W36" s="29">
        <f t="shared" si="110"/>
        <v>31.646920543721968</v>
      </c>
      <c r="X36" s="30">
        <f t="shared" si="117"/>
        <v>31.63980871636771</v>
      </c>
      <c r="Y36" s="29">
        <f t="shared" si="110"/>
        <v>32.368059837443944</v>
      </c>
      <c r="Z36" s="30">
        <f t="shared" si="117"/>
        <v>32.296230381165913</v>
      </c>
      <c r="AA36" s="29">
        <f t="shared" si="110"/>
        <v>32.660355941704033</v>
      </c>
      <c r="AB36" s="30">
        <f t="shared" si="117"/>
        <v>32.63564234164798</v>
      </c>
      <c r="AC36" s="29">
        <f t="shared" si="110"/>
        <v>33.272862072589682</v>
      </c>
      <c r="AD36" s="30">
        <f t="shared" ref="AD36:AR51" si="118">(AC37+AC35)/2</f>
        <v>33.164228909753362</v>
      </c>
      <c r="AE36" s="29">
        <f t="shared" si="110"/>
        <v>33.983511420964128</v>
      </c>
      <c r="AF36" s="30">
        <f t="shared" si="118"/>
        <v>33.939684784893494</v>
      </c>
      <c r="AG36" s="29">
        <f t="shared" si="110"/>
        <v>35.214124246776898</v>
      </c>
      <c r="AH36" s="30">
        <f t="shared" si="118"/>
        <v>35.07459908387051</v>
      </c>
      <c r="AI36" s="29">
        <f t="shared" si="110"/>
        <v>35.9849129852158</v>
      </c>
      <c r="AJ36" s="30">
        <f t="shared" si="118"/>
        <v>35.926407092996769</v>
      </c>
      <c r="AK36" s="29">
        <f t="shared" si="110"/>
        <v>36.472595433803953</v>
      </c>
      <c r="AL36" s="30">
        <f t="shared" si="118"/>
        <v>36.308528910410246</v>
      </c>
      <c r="AM36" s="29">
        <f t="shared" si="110"/>
        <v>36.672654470948359</v>
      </c>
      <c r="AN36" s="30">
        <f t="shared" si="118"/>
        <v>36.604475382304514</v>
      </c>
      <c r="AO36" s="29">
        <f t="shared" si="110"/>
        <v>37.150663723111691</v>
      </c>
      <c r="AP36" s="30">
        <f t="shared" si="118"/>
        <v>36.968553715864104</v>
      </c>
      <c r="AQ36" s="29">
        <f t="shared" si="110"/>
        <v>37.150616496133154</v>
      </c>
      <c r="AR36" s="30">
        <f t="shared" si="118"/>
        <v>37.077050753879973</v>
      </c>
      <c r="AS36" s="29">
        <f t="shared" si="110"/>
        <v>37.259113534149037</v>
      </c>
      <c r="AT36" s="30">
        <f t="shared" si="116"/>
        <v>37.063254920035732</v>
      </c>
      <c r="AU36" s="29">
        <f t="shared" si="110"/>
        <v>37.609443260842909</v>
      </c>
      <c r="AV36" s="30">
        <f t="shared" si="116"/>
        <v>37.532450784589145</v>
      </c>
      <c r="AW36" s="29">
        <f t="shared" si="110"/>
        <v>37.805544954992726</v>
      </c>
      <c r="AX36" s="30">
        <f t="shared" si="116"/>
        <v>37.598697039685433</v>
      </c>
      <c r="AY36" s="29">
        <f t="shared" si="110"/>
        <v>37.871791210089022</v>
      </c>
      <c r="AZ36" s="30">
        <f t="shared" si="116"/>
        <v>37.793551429397851</v>
      </c>
      <c r="BA36" s="29">
        <f t="shared" si="110"/>
        <v>37.975614209666908</v>
      </c>
      <c r="BB36" s="30">
        <f t="shared" si="116"/>
        <v>37.760575397827161</v>
      </c>
      <c r="BC36" s="29">
        <f t="shared" si="110"/>
        <v>37.942638178096225</v>
      </c>
      <c r="BD36" s="30">
        <f t="shared" si="116"/>
        <v>37.864811155988498</v>
      </c>
      <c r="BE36" s="29">
        <f t="shared" si="110"/>
        <v>38.046873936257555</v>
      </c>
      <c r="BF36" s="30">
        <f t="shared" si="116"/>
        <v>37.826482360940346</v>
      </c>
      <c r="BG36" s="29">
        <f t="shared" si="110"/>
        <v>37.917513751074871</v>
      </c>
      <c r="BH36" s="30">
        <f t="shared" si="116"/>
        <v>37.84203815664678</v>
      </c>
      <c r="BI36" s="29">
        <f t="shared" si="110"/>
        <v>37.933069546781311</v>
      </c>
    </row>
    <row r="37" spans="2:61" x14ac:dyDescent="0.3">
      <c r="B37" s="23"/>
      <c r="C37" s="14">
        <f t="shared" si="48"/>
        <v>1.599999999999995</v>
      </c>
      <c r="D37" s="60"/>
      <c r="E37" s="31">
        <f t="shared" si="49"/>
        <v>1.599999999999995</v>
      </c>
      <c r="F37" s="28">
        <v>0</v>
      </c>
      <c r="G37" s="29">
        <f t="shared" si="111"/>
        <v>16.385650224215247</v>
      </c>
      <c r="H37" s="5">
        <f t="shared" si="112"/>
        <v>16.385650224215247</v>
      </c>
      <c r="I37" s="29">
        <f t="shared" si="113"/>
        <v>20.026905829596412</v>
      </c>
      <c r="J37" s="28">
        <f t="shared" si="86"/>
        <v>20.026905829596412</v>
      </c>
      <c r="K37" s="29">
        <f t="shared" si="114"/>
        <v>24.032286995515694</v>
      </c>
      <c r="L37" s="30">
        <f t="shared" si="51"/>
        <v>24.032286995515694</v>
      </c>
      <c r="M37" s="29">
        <f t="shared" si="115"/>
        <v>25.306726457399105</v>
      </c>
      <c r="N37" s="30">
        <f t="shared" si="117"/>
        <v>25.306726457399105</v>
      </c>
      <c r="O37" s="29">
        <f t="shared" si="110"/>
        <v>26.945291479820629</v>
      </c>
      <c r="P37" s="30">
        <f t="shared" si="117"/>
        <v>26.945291479820629</v>
      </c>
      <c r="Q37" s="29">
        <f t="shared" si="110"/>
        <v>28.583856502242153</v>
      </c>
      <c r="R37" s="30">
        <f t="shared" si="117"/>
        <v>28.583856502242153</v>
      </c>
      <c r="S37" s="29">
        <f t="shared" si="110"/>
        <v>30.04035874439462</v>
      </c>
      <c r="T37" s="30">
        <f t="shared" si="117"/>
        <v>29.97635229820628</v>
      </c>
      <c r="U37" s="29">
        <f t="shared" si="110"/>
        <v>30.70460341928251</v>
      </c>
      <c r="V37" s="30">
        <f t="shared" si="117"/>
        <v>30.69037976457399</v>
      </c>
      <c r="W37" s="29">
        <f t="shared" si="110"/>
        <v>31.60069366591928</v>
      </c>
      <c r="X37" s="30">
        <f t="shared" si="117"/>
        <v>31.47303636491031</v>
      </c>
      <c r="Y37" s="29">
        <f t="shared" si="110"/>
        <v>32.201287485986541</v>
      </c>
      <c r="Z37" s="30">
        <f t="shared" si="117"/>
        <v>32.17141781109865</v>
      </c>
      <c r="AA37" s="29">
        <f t="shared" si="110"/>
        <v>32.53554337163677</v>
      </c>
      <c r="AB37" s="30">
        <f t="shared" si="117"/>
        <v>32.361748090667035</v>
      </c>
      <c r="AC37" s="29">
        <f t="shared" si="110"/>
        <v>32.998967821608737</v>
      </c>
      <c r="AD37" s="30">
        <f t="shared" si="118"/>
        <v>32.948740540919275</v>
      </c>
      <c r="AE37" s="29">
        <f t="shared" si="110"/>
        <v>33.76802305213004</v>
      </c>
      <c r="AF37" s="30">
        <f t="shared" si="118"/>
        <v>33.562002303461327</v>
      </c>
      <c r="AG37" s="29">
        <f t="shared" si="110"/>
        <v>34.83644176534473</v>
      </c>
      <c r="AH37" s="30">
        <f t="shared" si="118"/>
        <v>34.768234896125279</v>
      </c>
      <c r="AI37" s="29">
        <f t="shared" si="110"/>
        <v>35.678548797470569</v>
      </c>
      <c r="AJ37" s="30">
        <f t="shared" si="118"/>
        <v>35.451520377531175</v>
      </c>
      <c r="AK37" s="29">
        <f t="shared" si="110"/>
        <v>35.997708718338359</v>
      </c>
      <c r="AL37" s="30">
        <f t="shared" si="118"/>
        <v>35.915639341893225</v>
      </c>
      <c r="AM37" s="29">
        <f t="shared" si="110"/>
        <v>36.279764902431339</v>
      </c>
      <c r="AN37" s="30">
        <f t="shared" si="118"/>
        <v>36.041063084623737</v>
      </c>
      <c r="AO37" s="29">
        <f t="shared" si="110"/>
        <v>36.587251425430914</v>
      </c>
      <c r="AP37" s="30">
        <f t="shared" si="118"/>
        <v>36.49560052846045</v>
      </c>
      <c r="AQ37" s="29">
        <f t="shared" si="110"/>
        <v>36.6776633087295</v>
      </c>
      <c r="AR37" s="30">
        <f t="shared" si="118"/>
        <v>36.431601027416001</v>
      </c>
      <c r="AS37" s="29">
        <f t="shared" si="110"/>
        <v>36.613663807685064</v>
      </c>
      <c r="AT37" s="30">
        <f t="shared" si="116"/>
        <v>36.513441214112426</v>
      </c>
      <c r="AU37" s="29">
        <f t="shared" si="110"/>
        <v>37.059629554919603</v>
      </c>
      <c r="AV37" s="30">
        <f t="shared" si="116"/>
        <v>36.808196593827731</v>
      </c>
      <c r="AW37" s="29">
        <f t="shared" si="110"/>
        <v>37.081290764231312</v>
      </c>
      <c r="AX37" s="30">
        <f t="shared" si="116"/>
        <v>36.976131649188396</v>
      </c>
      <c r="AY37" s="29">
        <f t="shared" si="110"/>
        <v>37.249225819591985</v>
      </c>
      <c r="AZ37" s="30">
        <f t="shared" si="116"/>
        <v>36.995647894213548</v>
      </c>
      <c r="BA37" s="29">
        <f t="shared" si="110"/>
        <v>37.177710674482604</v>
      </c>
      <c r="BB37" s="30">
        <f t="shared" si="116"/>
        <v>37.07048887340477</v>
      </c>
      <c r="BC37" s="29">
        <f t="shared" si="110"/>
        <v>37.252551653673834</v>
      </c>
      <c r="BD37" s="30">
        <f t="shared" si="116"/>
        <v>36.999700076403641</v>
      </c>
      <c r="BE37" s="29">
        <f t="shared" si="110"/>
        <v>37.181762856672698</v>
      </c>
      <c r="BF37" s="30">
        <f t="shared" si="116"/>
        <v>37.075804257900728</v>
      </c>
      <c r="BG37" s="29">
        <f t="shared" si="110"/>
        <v>37.166835648035253</v>
      </c>
      <c r="BH37" s="30">
        <f t="shared" si="116"/>
        <v>36.915145954001908</v>
      </c>
      <c r="BI37" s="29">
        <f t="shared" si="110"/>
        <v>37.006177344136439</v>
      </c>
    </row>
    <row r="38" spans="2:61" x14ac:dyDescent="0.3">
      <c r="B38" s="23"/>
      <c r="C38" s="14">
        <f t="shared" si="48"/>
        <v>1.399999999999995</v>
      </c>
      <c r="D38" s="60"/>
      <c r="E38" s="31">
        <f t="shared" si="49"/>
        <v>1.399999999999995</v>
      </c>
      <c r="F38" s="28">
        <v>0</v>
      </c>
      <c r="G38" s="29">
        <f t="shared" si="111"/>
        <v>16.385650224215247</v>
      </c>
      <c r="H38" s="5">
        <f t="shared" si="112"/>
        <v>16.385650224215247</v>
      </c>
      <c r="I38" s="29">
        <f t="shared" si="113"/>
        <v>20.026905829596412</v>
      </c>
      <c r="J38" s="28">
        <f t="shared" si="86"/>
        <v>20.026905829596412</v>
      </c>
      <c r="K38" s="29">
        <f t="shared" si="114"/>
        <v>24.032286995515694</v>
      </c>
      <c r="L38" s="30">
        <f t="shared" si="51"/>
        <v>24.032286995515694</v>
      </c>
      <c r="M38" s="29">
        <f t="shared" si="115"/>
        <v>25.306726457399105</v>
      </c>
      <c r="N38" s="30">
        <f t="shared" si="117"/>
        <v>25.306726457399105</v>
      </c>
      <c r="O38" s="29">
        <f t="shared" si="110"/>
        <v>26.945291479820629</v>
      </c>
      <c r="P38" s="30">
        <f t="shared" si="117"/>
        <v>26.945291479820629</v>
      </c>
      <c r="Q38" s="29">
        <f t="shared" si="110"/>
        <v>28.583856502242153</v>
      </c>
      <c r="R38" s="30">
        <f t="shared" si="117"/>
        <v>28.455843609865468</v>
      </c>
      <c r="S38" s="29">
        <f t="shared" si="110"/>
        <v>29.912345852017935</v>
      </c>
      <c r="T38" s="30">
        <f t="shared" si="117"/>
        <v>29.883898542600896</v>
      </c>
      <c r="U38" s="29">
        <f t="shared" si="110"/>
        <v>30.612149663677126</v>
      </c>
      <c r="V38" s="30">
        <f t="shared" si="117"/>
        <v>30.388838284753362</v>
      </c>
      <c r="W38" s="29">
        <f t="shared" si="110"/>
        <v>31.299152186098652</v>
      </c>
      <c r="X38" s="30">
        <f t="shared" si="117"/>
        <v>31.246524663677128</v>
      </c>
      <c r="Y38" s="29">
        <f t="shared" si="110"/>
        <v>31.974775784753362</v>
      </c>
      <c r="Z38" s="30">
        <f t="shared" si="117"/>
        <v>31.699014679091924</v>
      </c>
      <c r="AA38" s="29">
        <f t="shared" si="110"/>
        <v>32.063140239630044</v>
      </c>
      <c r="AB38" s="30">
        <f t="shared" si="117"/>
        <v>31.987399278307173</v>
      </c>
      <c r="AC38" s="29">
        <f t="shared" si="110"/>
        <v>32.624619009248875</v>
      </c>
      <c r="AD38" s="30">
        <f t="shared" si="118"/>
        <v>32.321210674747753</v>
      </c>
      <c r="AE38" s="29">
        <f t="shared" si="110"/>
        <v>33.140493185958519</v>
      </c>
      <c r="AF38" s="30">
        <f t="shared" si="118"/>
        <v>33.047906083590249</v>
      </c>
      <c r="AG38" s="29">
        <f t="shared" si="110"/>
        <v>34.322345545473652</v>
      </c>
      <c r="AH38" s="30">
        <f t="shared" si="118"/>
        <v>34.007813868501259</v>
      </c>
      <c r="AI38" s="29">
        <f t="shared" si="110"/>
        <v>34.918127769846549</v>
      </c>
      <c r="AJ38" s="30">
        <f t="shared" si="118"/>
        <v>34.812494909175307</v>
      </c>
      <c r="AK38" s="29">
        <f t="shared" si="110"/>
        <v>35.358683249982491</v>
      </c>
      <c r="AL38" s="30">
        <f t="shared" si="118"/>
        <v>35.045346137761001</v>
      </c>
      <c r="AM38" s="29">
        <f t="shared" si="110"/>
        <v>35.409471698299114</v>
      </c>
      <c r="AN38" s="30">
        <f t="shared" si="118"/>
        <v>35.294348993002032</v>
      </c>
      <c r="AO38" s="29">
        <f t="shared" si="110"/>
        <v>35.840537333809209</v>
      </c>
      <c r="AP38" s="30">
        <f t="shared" si="118"/>
        <v>35.530522778429798</v>
      </c>
      <c r="AQ38" s="29">
        <f t="shared" si="110"/>
        <v>35.712585558698848</v>
      </c>
      <c r="AR38" s="30">
        <f t="shared" si="118"/>
        <v>35.585706113806751</v>
      </c>
      <c r="AS38" s="29">
        <f t="shared" si="110"/>
        <v>35.767768894075815</v>
      </c>
      <c r="AT38" s="30">
        <f t="shared" si="116"/>
        <v>35.460761586005376</v>
      </c>
      <c r="AU38" s="29">
        <f t="shared" si="110"/>
        <v>36.006949926812553</v>
      </c>
      <c r="AV38" s="30">
        <f t="shared" si="116"/>
        <v>35.873624172980485</v>
      </c>
      <c r="AW38" s="29">
        <f t="shared" si="110"/>
        <v>36.146718343384066</v>
      </c>
      <c r="AX38" s="30">
        <f t="shared" si="116"/>
        <v>35.846410407934485</v>
      </c>
      <c r="AY38" s="29">
        <f t="shared" si="110"/>
        <v>36.119504578338073</v>
      </c>
      <c r="AZ38" s="30">
        <f t="shared" si="116"/>
        <v>35.983300756873575</v>
      </c>
      <c r="BA38" s="29">
        <f t="shared" si="110"/>
        <v>36.165363537142632</v>
      </c>
      <c r="BB38" s="30">
        <f t="shared" si="116"/>
        <v>35.874699194441988</v>
      </c>
      <c r="BC38" s="29">
        <f t="shared" si="110"/>
        <v>36.056761974711051</v>
      </c>
      <c r="BD38" s="30">
        <f t="shared" si="116"/>
        <v>35.922671799274838</v>
      </c>
      <c r="BE38" s="29">
        <f t="shared" si="110"/>
        <v>36.104734579543894</v>
      </c>
      <c r="BF38" s="30">
        <f t="shared" si="116"/>
        <v>35.821746766794419</v>
      </c>
      <c r="BG38" s="29">
        <f t="shared" si="110"/>
        <v>35.912778156928944</v>
      </c>
      <c r="BH38" s="30">
        <f t="shared" si="116"/>
        <v>35.782796082943008</v>
      </c>
      <c r="BI38" s="29">
        <f t="shared" si="110"/>
        <v>35.87382747307754</v>
      </c>
    </row>
    <row r="39" spans="2:61" x14ac:dyDescent="0.3">
      <c r="B39" s="23"/>
      <c r="C39" s="14">
        <f t="shared" si="48"/>
        <v>1.1999999999999951</v>
      </c>
      <c r="D39" s="60"/>
      <c r="E39" s="31">
        <f t="shared" si="49"/>
        <v>1.1999999999999951</v>
      </c>
      <c r="F39" s="28">
        <v>0</v>
      </c>
      <c r="G39" s="29">
        <f t="shared" si="111"/>
        <v>16.385650224215247</v>
      </c>
      <c r="H39" s="5">
        <f t="shared" si="112"/>
        <v>16.385650224215247</v>
      </c>
      <c r="I39" s="29">
        <f t="shared" si="113"/>
        <v>20.026905829596412</v>
      </c>
      <c r="J39" s="28">
        <f t="shared" si="86"/>
        <v>20.026905829596412</v>
      </c>
      <c r="K39" s="29">
        <f t="shared" si="114"/>
        <v>24.032286995515694</v>
      </c>
      <c r="L39" s="30">
        <f t="shared" si="51"/>
        <v>24.032286995515694</v>
      </c>
      <c r="M39" s="29">
        <f t="shared" si="115"/>
        <v>25.306726457399105</v>
      </c>
      <c r="N39" s="30">
        <f t="shared" si="117"/>
        <v>25.306726457399105</v>
      </c>
      <c r="O39" s="29">
        <f t="shared" si="110"/>
        <v>26.945291479820629</v>
      </c>
      <c r="P39" s="30">
        <f t="shared" si="117"/>
        <v>26.689265695067263</v>
      </c>
      <c r="Q39" s="29">
        <f t="shared" si="110"/>
        <v>28.327830717488787</v>
      </c>
      <c r="R39" s="30">
        <f t="shared" si="117"/>
        <v>28.270936098654708</v>
      </c>
      <c r="S39" s="29">
        <f t="shared" si="110"/>
        <v>29.727438340807176</v>
      </c>
      <c r="T39" s="30">
        <f t="shared" si="117"/>
        <v>29.344822029147981</v>
      </c>
      <c r="U39" s="29">
        <f t="shared" si="110"/>
        <v>30.073073150224211</v>
      </c>
      <c r="V39" s="30">
        <f t="shared" si="117"/>
        <v>29.982041760089682</v>
      </c>
      <c r="W39" s="29">
        <f t="shared" si="110"/>
        <v>30.892355661434973</v>
      </c>
      <c r="X39" s="30">
        <f t="shared" si="117"/>
        <v>30.468490751121074</v>
      </c>
      <c r="Y39" s="29">
        <f t="shared" si="110"/>
        <v>31.196741872197308</v>
      </c>
      <c r="Z39" s="30">
        <f t="shared" si="117"/>
        <v>31.075129624439459</v>
      </c>
      <c r="AA39" s="29">
        <f t="shared" si="110"/>
        <v>31.439255184977579</v>
      </c>
      <c r="AB39" s="30">
        <f t="shared" si="117"/>
        <v>31.006233796945068</v>
      </c>
      <c r="AC39" s="29">
        <f t="shared" si="110"/>
        <v>31.64345352788677</v>
      </c>
      <c r="AD39" s="30">
        <f t="shared" si="118"/>
        <v>31.508506603839685</v>
      </c>
      <c r="AE39" s="29">
        <f t="shared" si="110"/>
        <v>32.32778911505045</v>
      </c>
      <c r="AF39" s="30">
        <f t="shared" si="118"/>
        <v>31.904746509774384</v>
      </c>
      <c r="AG39" s="29">
        <f t="shared" si="110"/>
        <v>33.179185971657787</v>
      </c>
      <c r="AH39" s="30">
        <f t="shared" si="118"/>
        <v>33.036127119534754</v>
      </c>
      <c r="AI39" s="29">
        <f t="shared" si="110"/>
        <v>33.946441020880044</v>
      </c>
      <c r="AJ39" s="30">
        <f t="shared" si="118"/>
        <v>33.546795216376466</v>
      </c>
      <c r="AK39" s="29">
        <f t="shared" si="110"/>
        <v>34.092983557183651</v>
      </c>
      <c r="AL39" s="30">
        <f t="shared" si="118"/>
        <v>33.944807523034619</v>
      </c>
      <c r="AM39" s="29">
        <f t="shared" si="110"/>
        <v>34.308933083572732</v>
      </c>
      <c r="AN39" s="30">
        <f t="shared" si="118"/>
        <v>33.927605790621499</v>
      </c>
      <c r="AO39" s="29">
        <f t="shared" si="110"/>
        <v>34.473794131428676</v>
      </c>
      <c r="AP39" s="30">
        <f t="shared" si="118"/>
        <v>34.311686138614945</v>
      </c>
      <c r="AQ39" s="29">
        <f t="shared" si="110"/>
        <v>34.493748918883995</v>
      </c>
      <c r="AR39" s="30">
        <f t="shared" si="118"/>
        <v>34.12579658405663</v>
      </c>
      <c r="AS39" s="29">
        <f t="shared" si="110"/>
        <v>34.307859364325694</v>
      </c>
      <c r="AT39" s="30">
        <f t="shared" si="116"/>
        <v>34.141430450234182</v>
      </c>
      <c r="AU39" s="29">
        <f t="shared" si="110"/>
        <v>34.687618791041359</v>
      </c>
      <c r="AV39" s="30">
        <f t="shared" si="116"/>
        <v>34.338435881234076</v>
      </c>
      <c r="AW39" s="29">
        <f t="shared" si="110"/>
        <v>34.611530051637658</v>
      </c>
      <c r="AX39" s="30">
        <f t="shared" si="116"/>
        <v>34.44428152375157</v>
      </c>
      <c r="AY39" s="29">
        <f t="shared" si="110"/>
        <v>34.717375694155159</v>
      </c>
      <c r="AZ39" s="30">
        <f t="shared" si="116"/>
        <v>34.389624934132321</v>
      </c>
      <c r="BA39" s="29">
        <f t="shared" si="110"/>
        <v>34.571687714401378</v>
      </c>
      <c r="BB39" s="30">
        <f t="shared" si="116"/>
        <v>34.410729164606785</v>
      </c>
      <c r="BC39" s="29">
        <f t="shared" si="110"/>
        <v>34.592791944875849</v>
      </c>
      <c r="BD39" s="30">
        <f t="shared" si="116"/>
        <v>34.279667896647091</v>
      </c>
      <c r="BE39" s="29">
        <f t="shared" si="110"/>
        <v>34.461730676916147</v>
      </c>
      <c r="BF39" s="30">
        <f t="shared" si="116"/>
        <v>34.307725127716239</v>
      </c>
      <c r="BG39" s="29">
        <f t="shared" si="110"/>
        <v>34.398756517850764</v>
      </c>
      <c r="BH39" s="30">
        <f t="shared" si="116"/>
        <v>34.100938225226813</v>
      </c>
      <c r="BI39" s="29">
        <f t="shared" si="110"/>
        <v>34.191969615361344</v>
      </c>
    </row>
    <row r="40" spans="2:61" x14ac:dyDescent="0.3">
      <c r="B40" s="23"/>
      <c r="C40" s="14">
        <f>C39-0.2</f>
        <v>0.99999999999999512</v>
      </c>
      <c r="D40" s="60"/>
      <c r="E40" s="31">
        <f t="shared" si="49"/>
        <v>0.99999999999999512</v>
      </c>
      <c r="F40" s="28">
        <v>0</v>
      </c>
      <c r="G40" s="29">
        <f t="shared" si="111"/>
        <v>16.385650224215247</v>
      </c>
      <c r="H40" s="5">
        <f t="shared" si="112"/>
        <v>16.385650224215247</v>
      </c>
      <c r="I40" s="29">
        <f t="shared" si="113"/>
        <v>20.026905829596412</v>
      </c>
      <c r="J40" s="28">
        <f t="shared" si="86"/>
        <v>20.026905829596412</v>
      </c>
      <c r="K40" s="29">
        <f t="shared" si="114"/>
        <v>24.032286995515694</v>
      </c>
      <c r="L40" s="30">
        <f t="shared" si="51"/>
        <v>24.032286995515694</v>
      </c>
      <c r="M40" s="29">
        <f t="shared" si="115"/>
        <v>25.306726457399105</v>
      </c>
      <c r="N40" s="30">
        <f t="shared" si="117"/>
        <v>24.794674887892377</v>
      </c>
      <c r="O40" s="29">
        <f t="shared" si="110"/>
        <v>26.433239910313901</v>
      </c>
      <c r="P40" s="30">
        <f t="shared" si="117"/>
        <v>26.319450672645743</v>
      </c>
      <c r="Q40" s="29">
        <f t="shared" si="110"/>
        <v>27.958015695067267</v>
      </c>
      <c r="R40" s="30">
        <f t="shared" si="117"/>
        <v>27.320795964125558</v>
      </c>
      <c r="S40" s="29">
        <f t="shared" si="110"/>
        <v>28.777298206278026</v>
      </c>
      <c r="T40" s="30">
        <f t="shared" si="117"/>
        <v>28.623682735426009</v>
      </c>
      <c r="U40" s="29">
        <f t="shared" si="110"/>
        <v>29.351933856502239</v>
      </c>
      <c r="V40" s="30">
        <f t="shared" si="117"/>
        <v>28.727515414798205</v>
      </c>
      <c r="W40" s="29">
        <f t="shared" si="110"/>
        <v>29.637829316143495</v>
      </c>
      <c r="X40" s="30">
        <f t="shared" si="117"/>
        <v>29.447232343049322</v>
      </c>
      <c r="Y40" s="29">
        <f t="shared" si="110"/>
        <v>30.175483464125556</v>
      </c>
      <c r="Z40" s="30">
        <f t="shared" si="117"/>
        <v>29.585201793721971</v>
      </c>
      <c r="AA40" s="29">
        <f t="shared" si="110"/>
        <v>29.949327354260092</v>
      </c>
      <c r="AB40" s="30">
        <f t="shared" si="117"/>
        <v>29.755174467488793</v>
      </c>
      <c r="AC40" s="29">
        <f t="shared" si="110"/>
        <v>30.392394198430495</v>
      </c>
      <c r="AD40" s="30">
        <f t="shared" si="118"/>
        <v>29.849717322379483</v>
      </c>
      <c r="AE40" s="29">
        <f t="shared" si="110"/>
        <v>30.668999833590249</v>
      </c>
      <c r="AF40" s="30">
        <f t="shared" si="118"/>
        <v>30.475469231712445</v>
      </c>
      <c r="AG40" s="29">
        <f t="shared" si="110"/>
        <v>31.749908693595849</v>
      </c>
      <c r="AH40" s="30">
        <f t="shared" si="118"/>
        <v>31.265148761561093</v>
      </c>
      <c r="AI40" s="29">
        <f t="shared" si="110"/>
        <v>32.175462662906384</v>
      </c>
      <c r="AJ40" s="30">
        <f t="shared" si="118"/>
        <v>31.984743455279567</v>
      </c>
      <c r="AK40" s="29">
        <f t="shared" ref="AK40:AY44" si="119">AJ40+AK$3</f>
        <v>32.530931796086747</v>
      </c>
      <c r="AL40" s="30">
        <f t="shared" si="118"/>
        <v>32.081614322405763</v>
      </c>
      <c r="AM40" s="29">
        <f t="shared" si="119"/>
        <v>32.445739882943876</v>
      </c>
      <c r="AN40" s="30">
        <f t="shared" si="118"/>
        <v>32.236646602613511</v>
      </c>
      <c r="AO40" s="29">
        <f t="shared" si="119"/>
        <v>32.782834943420688</v>
      </c>
      <c r="AP40" s="30">
        <f t="shared" si="118"/>
        <v>32.356944829145363</v>
      </c>
      <c r="AQ40" s="29">
        <f t="shared" si="119"/>
        <v>32.539007609414412</v>
      </c>
      <c r="AR40" s="30">
        <f t="shared" si="118"/>
        <v>32.333029226123479</v>
      </c>
      <c r="AS40" s="29">
        <f t="shared" si="119"/>
        <v>32.515092006392543</v>
      </c>
      <c r="AT40" s="30">
        <f t="shared" si="116"/>
        <v>32.123733494848416</v>
      </c>
      <c r="AU40" s="29">
        <f t="shared" si="119"/>
        <v>32.669921835655593</v>
      </c>
      <c r="AV40" s="30">
        <f t="shared" si="116"/>
        <v>32.468750533715493</v>
      </c>
      <c r="AW40" s="29">
        <f t="shared" si="119"/>
        <v>32.741844704119075</v>
      </c>
      <c r="AX40" s="30">
        <f t="shared" si="116"/>
        <v>32.38665111952298</v>
      </c>
      <c r="AY40" s="29">
        <f t="shared" si="119"/>
        <v>32.659745289926569</v>
      </c>
      <c r="AZ40" s="30">
        <f t="shared" si="116"/>
        <v>32.474032011801881</v>
      </c>
      <c r="BA40" s="29">
        <f t="shared" ref="BA40:BI44" si="120">AZ40+BA$3</f>
        <v>32.656094792070938</v>
      </c>
      <c r="BB40" s="30">
        <f t="shared" si="116"/>
        <v>32.320511038314066</v>
      </c>
      <c r="BC40" s="29">
        <f t="shared" si="120"/>
        <v>32.50257381858313</v>
      </c>
      <c r="BD40" s="30">
        <f t="shared" si="116"/>
        <v>32.32865289561952</v>
      </c>
      <c r="BE40" s="29">
        <f t="shared" si="120"/>
        <v>32.510715675888576</v>
      </c>
      <c r="BF40" s="30">
        <f t="shared" si="116"/>
        <v>32.198066903390156</v>
      </c>
      <c r="BG40" s="29">
        <f t="shared" si="120"/>
        <v>32.289098293524681</v>
      </c>
      <c r="BH40" s="30">
        <f t="shared" si="116"/>
        <v>32.127793794175432</v>
      </c>
      <c r="BI40" s="29">
        <f t="shared" si="120"/>
        <v>32.218825184309964</v>
      </c>
    </row>
    <row r="41" spans="2:61" x14ac:dyDescent="0.3">
      <c r="B41" s="23"/>
      <c r="C41" s="14">
        <f t="shared" si="48"/>
        <v>0.79999999999999516</v>
      </c>
      <c r="D41" s="60"/>
      <c r="E41" s="31">
        <f t="shared" si="49"/>
        <v>0.79999999999999516</v>
      </c>
      <c r="F41" s="28">
        <v>0</v>
      </c>
      <c r="G41" s="29">
        <f t="shared" si="111"/>
        <v>16.385650224215247</v>
      </c>
      <c r="H41" s="5">
        <f t="shared" si="112"/>
        <v>16.385650224215247</v>
      </c>
      <c r="I41" s="29">
        <f t="shared" si="113"/>
        <v>20.026905829596412</v>
      </c>
      <c r="J41" s="28">
        <f t="shared" si="86"/>
        <v>20.026905829596412</v>
      </c>
      <c r="K41" s="29">
        <f t="shared" si="114"/>
        <v>24.032286995515694</v>
      </c>
      <c r="L41" s="30">
        <f t="shared" si="51"/>
        <v>23.008183856502242</v>
      </c>
      <c r="M41" s="29">
        <f t="shared" si="115"/>
        <v>24.282623318385653</v>
      </c>
      <c r="N41" s="30">
        <f t="shared" si="117"/>
        <v>24.05504484304933</v>
      </c>
      <c r="O41" s="29">
        <f t="shared" ref="O41:AC45" si="121">N41+O$3</f>
        <v>25.693609865470854</v>
      </c>
      <c r="P41" s="30">
        <f t="shared" si="117"/>
        <v>24.675196188340806</v>
      </c>
      <c r="Q41" s="29">
        <f t="shared" si="121"/>
        <v>26.31376121076233</v>
      </c>
      <c r="R41" s="30">
        <f t="shared" si="117"/>
        <v>26.063424887892378</v>
      </c>
      <c r="S41" s="29">
        <f t="shared" si="121"/>
        <v>27.519927130044845</v>
      </c>
      <c r="T41" s="30">
        <f t="shared" si="117"/>
        <v>26.653706558295966</v>
      </c>
      <c r="U41" s="29">
        <f t="shared" si="121"/>
        <v>27.381957679372196</v>
      </c>
      <c r="V41" s="30">
        <f t="shared" si="117"/>
        <v>27.091795123318384</v>
      </c>
      <c r="W41" s="29">
        <f t="shared" si="121"/>
        <v>28.002109024663675</v>
      </c>
      <c r="X41" s="30">
        <f t="shared" si="117"/>
        <v>27.245410594170401</v>
      </c>
      <c r="Y41" s="29">
        <f t="shared" si="121"/>
        <v>27.973661715246635</v>
      </c>
      <c r="Z41" s="30">
        <f t="shared" si="117"/>
        <v>27.706968189461882</v>
      </c>
      <c r="AA41" s="29">
        <f t="shared" si="121"/>
        <v>28.071093750000003</v>
      </c>
      <c r="AB41" s="30">
        <f t="shared" si="117"/>
        <v>27.418761385930495</v>
      </c>
      <c r="AC41" s="29">
        <f t="shared" si="121"/>
        <v>28.055981116872196</v>
      </c>
      <c r="AD41" s="30">
        <f t="shared" si="118"/>
        <v>27.803866837163678</v>
      </c>
      <c r="AE41" s="29">
        <f t="shared" ref="AE41:AS45" si="122">AD41+AE$3</f>
        <v>28.623149348374444</v>
      </c>
      <c r="AF41" s="30">
        <f t="shared" si="118"/>
        <v>28.076672089580999</v>
      </c>
      <c r="AG41" s="29">
        <f t="shared" si="122"/>
        <v>29.351111551464403</v>
      </c>
      <c r="AH41" s="30">
        <f t="shared" si="118"/>
        <v>29.112731988333799</v>
      </c>
      <c r="AI41" s="29">
        <f t="shared" si="122"/>
        <v>30.023045889679089</v>
      </c>
      <c r="AJ41" s="30">
        <f t="shared" si="118"/>
        <v>29.52405674682069</v>
      </c>
      <c r="AK41" s="29">
        <f t="shared" si="122"/>
        <v>30.070245087627875</v>
      </c>
      <c r="AL41" s="30">
        <f t="shared" si="118"/>
        <v>29.800234561116177</v>
      </c>
      <c r="AM41" s="29">
        <f t="shared" si="122"/>
        <v>30.16436012165429</v>
      </c>
      <c r="AN41" s="30">
        <f t="shared" si="118"/>
        <v>29.693907186054865</v>
      </c>
      <c r="AO41" s="29">
        <f t="shared" si="122"/>
        <v>30.240095526862042</v>
      </c>
      <c r="AP41" s="30">
        <f t="shared" si="118"/>
        <v>29.990246753093913</v>
      </c>
      <c r="AQ41" s="29">
        <f t="shared" si="122"/>
        <v>30.172309533362963</v>
      </c>
      <c r="AR41" s="30">
        <f t="shared" si="118"/>
        <v>29.757544845102075</v>
      </c>
      <c r="AS41" s="29">
        <f t="shared" si="122"/>
        <v>29.939607625371139</v>
      </c>
      <c r="AT41" s="30">
        <f t="shared" si="116"/>
        <v>29.703693935582457</v>
      </c>
      <c r="AU41" s="29">
        <f t="shared" si="119"/>
        <v>30.249882276389634</v>
      </c>
      <c r="AV41" s="30">
        <f t="shared" si="116"/>
        <v>29.888678017004729</v>
      </c>
      <c r="AW41" s="29">
        <f t="shared" si="119"/>
        <v>30.16177218740831</v>
      </c>
      <c r="AX41" s="30">
        <f t="shared" si="116"/>
        <v>29.957594159045023</v>
      </c>
      <c r="AY41" s="29">
        <f t="shared" si="119"/>
        <v>30.230688329448611</v>
      </c>
      <c r="AZ41" s="30">
        <f t="shared" si="116"/>
        <v>29.887271581957691</v>
      </c>
      <c r="BA41" s="29">
        <f t="shared" si="120"/>
        <v>30.069334362226748</v>
      </c>
      <c r="BB41" s="30">
        <f t="shared" si="116"/>
        <v>29.882451066094124</v>
      </c>
      <c r="BC41" s="29">
        <f t="shared" si="120"/>
        <v>30.064513846363187</v>
      </c>
      <c r="BD41" s="30">
        <f t="shared" si="116"/>
        <v>29.752340349595112</v>
      </c>
      <c r="BE41" s="29">
        <f t="shared" si="120"/>
        <v>29.934403129864169</v>
      </c>
      <c r="BF41" s="30">
        <f t="shared" si="116"/>
        <v>29.765799680365575</v>
      </c>
      <c r="BG41" s="29">
        <f t="shared" si="120"/>
        <v>29.8568310705001</v>
      </c>
      <c r="BH41" s="30">
        <f t="shared" si="116"/>
        <v>29.57497774429385</v>
      </c>
      <c r="BI41" s="29">
        <f t="shared" si="120"/>
        <v>29.666009134428382</v>
      </c>
    </row>
    <row r="42" spans="2:61" x14ac:dyDescent="0.3">
      <c r="B42" s="23"/>
      <c r="C42" s="14">
        <f t="shared" si="48"/>
        <v>0.5999999999999952</v>
      </c>
      <c r="D42" s="60"/>
      <c r="E42" s="31">
        <f t="shared" si="49"/>
        <v>0.5999999999999952</v>
      </c>
      <c r="F42" s="28">
        <v>0</v>
      </c>
      <c r="G42" s="29">
        <f t="shared" si="111"/>
        <v>16.385650224215247</v>
      </c>
      <c r="H42" s="5">
        <f t="shared" si="112"/>
        <v>16.385650224215247</v>
      </c>
      <c r="I42" s="29">
        <f t="shared" si="113"/>
        <v>20.026905829596412</v>
      </c>
      <c r="J42" s="28">
        <f t="shared" si="86"/>
        <v>17.978699551569505</v>
      </c>
      <c r="K42" s="29">
        <f t="shared" si="114"/>
        <v>21.984080717488787</v>
      </c>
      <c r="L42" s="30">
        <f t="shared" si="51"/>
        <v>21.528923766816142</v>
      </c>
      <c r="M42" s="29">
        <f t="shared" si="115"/>
        <v>22.803363228699553</v>
      </c>
      <c r="N42" s="30">
        <f t="shared" si="117"/>
        <v>21.27858744394619</v>
      </c>
      <c r="O42" s="29">
        <f t="shared" si="121"/>
        <v>22.917152466367714</v>
      </c>
      <c r="P42" s="30">
        <f t="shared" si="117"/>
        <v>22.530269058295964</v>
      </c>
      <c r="Q42" s="29">
        <f t="shared" si="121"/>
        <v>24.168834080717488</v>
      </c>
      <c r="R42" s="30">
        <f t="shared" si="117"/>
        <v>23.073612668161434</v>
      </c>
      <c r="S42" s="29">
        <f t="shared" si="121"/>
        <v>24.530114910313902</v>
      </c>
      <c r="T42" s="30">
        <f t="shared" si="117"/>
        <v>24.1034052690583</v>
      </c>
      <c r="U42" s="29">
        <f t="shared" si="121"/>
        <v>24.83165639013453</v>
      </c>
      <c r="V42" s="30">
        <f t="shared" si="117"/>
        <v>23.942677970852017</v>
      </c>
      <c r="W42" s="29">
        <f t="shared" si="121"/>
        <v>24.852991872197308</v>
      </c>
      <c r="X42" s="30">
        <f t="shared" si="117"/>
        <v>24.510201793721972</v>
      </c>
      <c r="Y42" s="29">
        <f t="shared" si="121"/>
        <v>25.238452914798206</v>
      </c>
      <c r="Z42" s="30">
        <f t="shared" si="117"/>
        <v>24.524069857062777</v>
      </c>
      <c r="AA42" s="29">
        <f t="shared" si="121"/>
        <v>24.888195417600897</v>
      </c>
      <c r="AB42" s="30">
        <f t="shared" si="117"/>
        <v>24.57811974495516</v>
      </c>
      <c r="AC42" s="29">
        <f t="shared" si="121"/>
        <v>25.215339475896862</v>
      </c>
      <c r="AD42" s="30">
        <f t="shared" si="118"/>
        <v>24.665061834360984</v>
      </c>
      <c r="AE42" s="29">
        <f t="shared" si="122"/>
        <v>25.484344345571749</v>
      </c>
      <c r="AF42" s="30">
        <f t="shared" si="118"/>
        <v>25.201115821188345</v>
      </c>
      <c r="AG42" s="29">
        <f t="shared" si="122"/>
        <v>26.475555283071749</v>
      </c>
      <c r="AH42" s="30">
        <f t="shared" si="118"/>
        <v>25.962336929389711</v>
      </c>
      <c r="AI42" s="29">
        <f t="shared" si="122"/>
        <v>26.872650830735001</v>
      </c>
      <c r="AJ42" s="30">
        <f t="shared" si="118"/>
        <v>26.523348985338423</v>
      </c>
      <c r="AK42" s="29">
        <f t="shared" si="122"/>
        <v>27.069537326145607</v>
      </c>
      <c r="AL42" s="30">
        <f t="shared" si="118"/>
        <v>26.577948928627738</v>
      </c>
      <c r="AM42" s="29">
        <f t="shared" si="122"/>
        <v>26.942074489165851</v>
      </c>
      <c r="AN42" s="30">
        <f t="shared" si="118"/>
        <v>26.651470221959958</v>
      </c>
      <c r="AO42" s="29">
        <f t="shared" si="122"/>
        <v>27.197658562767135</v>
      </c>
      <c r="AP42" s="30">
        <f t="shared" si="118"/>
        <v>26.794019300520691</v>
      </c>
      <c r="AQ42" s="29">
        <f t="shared" si="122"/>
        <v>26.976082080789741</v>
      </c>
      <c r="AR42" s="30">
        <f t="shared" si="118"/>
        <v>26.710233084503308</v>
      </c>
      <c r="AS42" s="29">
        <f t="shared" si="122"/>
        <v>26.892295864772372</v>
      </c>
      <c r="AT42" s="30">
        <f t="shared" si="116"/>
        <v>26.561245857546684</v>
      </c>
      <c r="AU42" s="29">
        <f t="shared" si="119"/>
        <v>27.107434198353861</v>
      </c>
      <c r="AV42" s="30">
        <f t="shared" si="116"/>
        <v>26.90024944356739</v>
      </c>
      <c r="AW42" s="29">
        <f t="shared" si="119"/>
        <v>27.173343613970971</v>
      </c>
      <c r="AX42" s="30">
        <f t="shared" si="116"/>
        <v>26.841703703585225</v>
      </c>
      <c r="AY42" s="29">
        <f t="shared" si="119"/>
        <v>27.114797873988813</v>
      </c>
      <c r="AZ42" s="30">
        <f t="shared" si="116"/>
        <v>26.926744559848252</v>
      </c>
      <c r="BA42" s="29">
        <f t="shared" si="120"/>
        <v>27.108807340117309</v>
      </c>
      <c r="BB42" s="30">
        <f t="shared" si="116"/>
        <v>26.820044100338031</v>
      </c>
      <c r="BC42" s="29">
        <f t="shared" si="120"/>
        <v>27.002106880607094</v>
      </c>
      <c r="BD42" s="30">
        <f t="shared" si="116"/>
        <v>26.838820904573517</v>
      </c>
      <c r="BE42" s="29">
        <f t="shared" si="120"/>
        <v>27.020883684842573</v>
      </c>
      <c r="BF42" s="30">
        <f t="shared" si="116"/>
        <v>26.769825804928495</v>
      </c>
      <c r="BG42" s="29">
        <f t="shared" si="120"/>
        <v>26.860857195063019</v>
      </c>
      <c r="BH42" s="30">
        <f t="shared" si="116"/>
        <v>26.712845815083366</v>
      </c>
      <c r="BI42" s="29">
        <f t="shared" si="120"/>
        <v>26.803877205217898</v>
      </c>
    </row>
    <row r="43" spans="2:61" x14ac:dyDescent="0.3">
      <c r="B43" s="23"/>
      <c r="C43" s="14">
        <f t="shared" si="48"/>
        <v>0.39999999999999519</v>
      </c>
      <c r="D43" s="60"/>
      <c r="E43" s="31">
        <f t="shared" si="49"/>
        <v>0.39999999999999519</v>
      </c>
      <c r="F43" s="28">
        <v>0</v>
      </c>
      <c r="G43" s="29">
        <f t="shared" si="111"/>
        <v>16.385650224215247</v>
      </c>
      <c r="H43" s="5">
        <f t="shared" si="112"/>
        <v>12.289237668161435</v>
      </c>
      <c r="I43" s="29">
        <f t="shared" si="113"/>
        <v>15.9304932735426</v>
      </c>
      <c r="J43" s="28">
        <f t="shared" si="86"/>
        <v>15.020179372197308</v>
      </c>
      <c r="K43" s="29">
        <f t="shared" si="114"/>
        <v>19.02556053811659</v>
      </c>
      <c r="L43" s="30">
        <f t="shared" si="51"/>
        <v>17.000112107623316</v>
      </c>
      <c r="M43" s="29">
        <f t="shared" si="115"/>
        <v>18.274551569506727</v>
      </c>
      <c r="N43" s="30">
        <f t="shared" si="117"/>
        <v>17.728363228699553</v>
      </c>
      <c r="O43" s="29">
        <f t="shared" si="121"/>
        <v>19.366928251121077</v>
      </c>
      <c r="P43" s="30">
        <f t="shared" si="117"/>
        <v>18.194899103139015</v>
      </c>
      <c r="Q43" s="29">
        <f t="shared" si="121"/>
        <v>19.833464125560539</v>
      </c>
      <c r="R43" s="30">
        <f t="shared" si="117"/>
        <v>19.230381165919283</v>
      </c>
      <c r="S43" s="29">
        <f t="shared" si="121"/>
        <v>20.686883408071751</v>
      </c>
      <c r="T43" s="30">
        <f t="shared" si="117"/>
        <v>19.775147141255605</v>
      </c>
      <c r="U43" s="29">
        <f t="shared" si="121"/>
        <v>20.503398262331835</v>
      </c>
      <c r="V43" s="30">
        <f t="shared" si="117"/>
        <v>20.107980661434979</v>
      </c>
      <c r="W43" s="29">
        <f t="shared" si="121"/>
        <v>21.01829456278027</v>
      </c>
      <c r="X43" s="30">
        <f t="shared" si="117"/>
        <v>20.346226877802689</v>
      </c>
      <c r="Y43" s="29">
        <f t="shared" si="121"/>
        <v>21.074477998878923</v>
      </c>
      <c r="Z43" s="30">
        <f t="shared" si="117"/>
        <v>20.721020179372196</v>
      </c>
      <c r="AA43" s="29">
        <f t="shared" si="121"/>
        <v>21.085145739910317</v>
      </c>
      <c r="AB43" s="30">
        <f t="shared" si="117"/>
        <v>20.636922820908072</v>
      </c>
      <c r="AC43" s="29">
        <f t="shared" si="121"/>
        <v>21.274142551849774</v>
      </c>
      <c r="AD43" s="30">
        <f t="shared" si="118"/>
        <v>20.959799782791478</v>
      </c>
      <c r="AE43" s="29">
        <f t="shared" si="122"/>
        <v>21.779082294002244</v>
      </c>
      <c r="AF43" s="30">
        <f t="shared" si="118"/>
        <v>21.299122845431615</v>
      </c>
      <c r="AG43" s="29">
        <f t="shared" si="122"/>
        <v>22.573562307315019</v>
      </c>
      <c r="AH43" s="30">
        <f t="shared" si="118"/>
        <v>22.113338179652466</v>
      </c>
      <c r="AI43" s="29">
        <f t="shared" si="122"/>
        <v>23.023652080997756</v>
      </c>
      <c r="AJ43" s="30">
        <f t="shared" si="118"/>
        <v>22.539464428820416</v>
      </c>
      <c r="AK43" s="29">
        <f t="shared" si="122"/>
        <v>23.0856527696276</v>
      </c>
      <c r="AL43" s="30">
        <f t="shared" si="118"/>
        <v>22.774454761727512</v>
      </c>
      <c r="AM43" s="29">
        <f t="shared" si="122"/>
        <v>23.138580322265625</v>
      </c>
      <c r="AN43" s="30">
        <f t="shared" si="118"/>
        <v>22.801754733372164</v>
      </c>
      <c r="AO43" s="29">
        <f t="shared" si="122"/>
        <v>23.347943074179341</v>
      </c>
      <c r="AP43" s="30">
        <f t="shared" si="118"/>
        <v>23.0660938553746</v>
      </c>
      <c r="AQ43" s="29">
        <f t="shared" si="122"/>
        <v>23.24815663564365</v>
      </c>
      <c r="AR43" s="30">
        <f t="shared" si="118"/>
        <v>23.000821309453165</v>
      </c>
      <c r="AS43" s="29">
        <f t="shared" si="122"/>
        <v>23.182884089722229</v>
      </c>
      <c r="AT43" s="30">
        <f t="shared" si="116"/>
        <v>23.004428269937971</v>
      </c>
      <c r="AU43" s="29">
        <f t="shared" si="119"/>
        <v>23.550616610745148</v>
      </c>
      <c r="AV43" s="30">
        <f t="shared" si="116"/>
        <v>23.248541049358558</v>
      </c>
      <c r="AW43" s="29">
        <f t="shared" si="119"/>
        <v>23.521635219762139</v>
      </c>
      <c r="AX43" s="30">
        <f t="shared" si="116"/>
        <v>23.349706619844305</v>
      </c>
      <c r="AY43" s="29">
        <f t="shared" si="119"/>
        <v>23.622800790247894</v>
      </c>
      <c r="AZ43" s="30">
        <f t="shared" si="116"/>
        <v>23.388691058180257</v>
      </c>
      <c r="BA43" s="29">
        <f t="shared" si="120"/>
        <v>23.570753838449313</v>
      </c>
      <c r="BB43" s="30">
        <f t="shared" si="116"/>
        <v>23.431065182514786</v>
      </c>
      <c r="BC43" s="29">
        <f t="shared" si="120"/>
        <v>23.61312796278385</v>
      </c>
      <c r="BD43" s="30">
        <f t="shared" si="116"/>
        <v>23.423185699723764</v>
      </c>
      <c r="BE43" s="29">
        <f t="shared" si="120"/>
        <v>23.60524847999282</v>
      </c>
      <c r="BF43" s="30">
        <f t="shared" si="116"/>
        <v>23.477829169532107</v>
      </c>
      <c r="BG43" s="29">
        <f t="shared" si="120"/>
        <v>23.568860559666632</v>
      </c>
      <c r="BH43" s="30">
        <f t="shared" si="116"/>
        <v>23.420478303576797</v>
      </c>
      <c r="BI43" s="29">
        <f t="shared" si="120"/>
        <v>23.511509693711329</v>
      </c>
    </row>
    <row r="44" spans="2:61" x14ac:dyDescent="0.3">
      <c r="B44" s="23"/>
      <c r="C44" s="14">
        <f t="shared" si="48"/>
        <v>0.19999999999999518</v>
      </c>
      <c r="D44" s="60"/>
      <c r="E44" s="31">
        <f t="shared" si="49"/>
        <v>0.19999999999999518</v>
      </c>
      <c r="F44" s="28">
        <v>0</v>
      </c>
      <c r="G44" s="5">
        <f>G3/2</f>
        <v>8.1928251121076237</v>
      </c>
      <c r="H44" s="5">
        <f t="shared" si="112"/>
        <v>8.1928251121076237</v>
      </c>
      <c r="I44" s="5">
        <f>H44+I$3/2</f>
        <v>10.013452914798206</v>
      </c>
      <c r="J44" s="28">
        <f t="shared" si="86"/>
        <v>10.013452914798206</v>
      </c>
      <c r="K44" s="5">
        <f>J44+K3/2</f>
        <v>12.016143497757847</v>
      </c>
      <c r="L44" s="30">
        <f t="shared" si="51"/>
        <v>12.016143497757847</v>
      </c>
      <c r="M44" s="5">
        <f>L44+M$3/2</f>
        <v>12.653363228699552</v>
      </c>
      <c r="N44" s="30">
        <f t="shared" si="117"/>
        <v>12.653363228699551</v>
      </c>
      <c r="O44" s="5">
        <f t="shared" ref="O44" si="123">N44+O$3/2</f>
        <v>13.472645739910313</v>
      </c>
      <c r="P44" s="30">
        <f t="shared" si="117"/>
        <v>13.472645739910314</v>
      </c>
      <c r="Q44" s="5">
        <f t="shared" ref="Q44" si="124">P44+Q$3/2</f>
        <v>14.291928251121076</v>
      </c>
      <c r="R44" s="30">
        <f t="shared" si="117"/>
        <v>14.291928251121076</v>
      </c>
      <c r="S44" s="5">
        <f t="shared" ref="S44" si="125">R44+S$3/2</f>
        <v>15.02017937219731</v>
      </c>
      <c r="T44" s="30">
        <f t="shared" si="117"/>
        <v>15.02017937219731</v>
      </c>
      <c r="U44" s="5">
        <f t="shared" ref="U44" si="126">T44+U$3/2</f>
        <v>15.384304932735425</v>
      </c>
      <c r="V44" s="30">
        <f t="shared" si="117"/>
        <v>15.384304932735425</v>
      </c>
      <c r="W44" s="5">
        <f t="shared" ref="W44" si="127">V44+W$3/2</f>
        <v>15.83946188340807</v>
      </c>
      <c r="X44" s="30">
        <f t="shared" si="117"/>
        <v>15.839461883408072</v>
      </c>
      <c r="Y44" s="5">
        <f t="shared" ref="Y44" si="128">X44+Y$3/2</f>
        <v>16.203587443946191</v>
      </c>
      <c r="Z44" s="30">
        <f t="shared" si="117"/>
        <v>16.203587443946187</v>
      </c>
      <c r="AA44" s="5">
        <f t="shared" ref="AA44" si="129">Z44+AA$3/2</f>
        <v>16.385650224215247</v>
      </c>
      <c r="AB44" s="30">
        <f t="shared" si="117"/>
        <v>16.385650224215247</v>
      </c>
      <c r="AC44" s="5">
        <f t="shared" ref="AC44" si="130">AB44+AC$3/2</f>
        <v>16.704260089686098</v>
      </c>
      <c r="AD44" s="30">
        <f t="shared" si="118"/>
        <v>16.704260089686098</v>
      </c>
      <c r="AE44" s="5">
        <f t="shared" ref="AE44" si="131">AD44+AE$3/2</f>
        <v>17.113901345291481</v>
      </c>
      <c r="AF44" s="30">
        <f t="shared" si="118"/>
        <v>17.113901345291481</v>
      </c>
      <c r="AG44" s="5">
        <f t="shared" ref="AG44" si="132">AF44+AG$3/2</f>
        <v>17.751121076233183</v>
      </c>
      <c r="AH44" s="30">
        <f t="shared" si="118"/>
        <v>17.751121076233183</v>
      </c>
      <c r="AI44" s="5">
        <f t="shared" ref="AI44" si="133">AH44+AI$3/2</f>
        <v>18.206278026905828</v>
      </c>
      <c r="AJ44" s="30">
        <f t="shared" si="118"/>
        <v>18.206278026905828</v>
      </c>
      <c r="AK44" s="5">
        <f t="shared" ref="AK44" si="134">AJ44+AK$3/2</f>
        <v>18.47937219730942</v>
      </c>
      <c r="AL44" s="30">
        <f t="shared" si="118"/>
        <v>18.47937219730942</v>
      </c>
      <c r="AM44" s="5">
        <f t="shared" ref="AM44" si="135">AL44+AM$3/2</f>
        <v>18.661434977578477</v>
      </c>
      <c r="AN44" s="30">
        <f t="shared" si="118"/>
        <v>18.661434977578477</v>
      </c>
      <c r="AO44" s="5">
        <f t="shared" ref="AO44" si="136">AN44+AO$3/2</f>
        <v>18.934529147982065</v>
      </c>
      <c r="AP44" s="30">
        <f t="shared" si="118"/>
        <v>18.934529147982065</v>
      </c>
      <c r="AQ44" s="5">
        <f t="shared" ref="AQ44" si="137">AP44+AQ$3/2</f>
        <v>19.02556053811659</v>
      </c>
      <c r="AR44" s="30">
        <f t="shared" si="118"/>
        <v>19.025529284969039</v>
      </c>
      <c r="AS44" s="5">
        <f t="shared" ref="AS44" si="138">AR44+AS$3/2</f>
        <v>19.116560675103571</v>
      </c>
      <c r="AT44" s="30">
        <f t="shared" si="116"/>
        <v>19.116553729959669</v>
      </c>
      <c r="AU44" s="5">
        <f t="shared" ref="AU44" si="139">AT44+AU$3/2</f>
        <v>19.389647900363258</v>
      </c>
      <c r="AV44" s="30">
        <f t="shared" si="116"/>
        <v>19.389522540515852</v>
      </c>
      <c r="AW44" s="5">
        <f t="shared" ref="AW44" si="140">AV44+AW$3/2</f>
        <v>19.526069625717643</v>
      </c>
      <c r="AX44" s="30">
        <f t="shared" si="116"/>
        <v>19.526037157169906</v>
      </c>
      <c r="AY44" s="5">
        <f t="shared" ref="AY44" si="141">AX44+AY$3/2</f>
        <v>19.6625842423717</v>
      </c>
      <c r="AZ44" s="30">
        <f t="shared" si="116"/>
        <v>19.662291634777738</v>
      </c>
      <c r="BA44" s="5">
        <f t="shared" ref="BA44" si="142">AZ44+BA$3/2</f>
        <v>19.753323024912266</v>
      </c>
      <c r="BB44" s="30">
        <f t="shared" si="116"/>
        <v>19.753233128705901</v>
      </c>
      <c r="BC44" s="5">
        <f t="shared" ref="BC44" si="143">BB44+BC$3/2</f>
        <v>19.844264518840433</v>
      </c>
      <c r="BD44" s="30">
        <f t="shared" si="116"/>
        <v>19.843743264087113</v>
      </c>
      <c r="BE44" s="5">
        <f t="shared" ref="BE44" si="144">BD44+BE$3/2</f>
        <v>19.934774654221641</v>
      </c>
      <c r="BF44" s="30">
        <f t="shared" si="116"/>
        <v>19.934583717023312</v>
      </c>
      <c r="BG44" s="5">
        <f t="shared" ref="BG44" si="145">BF44+BG$3/2</f>
        <v>19.980099412090574</v>
      </c>
      <c r="BH44" s="30">
        <f t="shared" si="116"/>
        <v>19.979313954296664</v>
      </c>
      <c r="BI44" s="5">
        <f t="shared" ref="BI44" si="146">BH44+BI$3/2</f>
        <v>20.02482964936393</v>
      </c>
    </row>
    <row r="45" spans="2:61" x14ac:dyDescent="0.3">
      <c r="B45" s="34" t="s">
        <v>37</v>
      </c>
      <c r="C45" s="14">
        <v>0.2</v>
      </c>
      <c r="D45" s="35" t="s">
        <v>37</v>
      </c>
      <c r="E45" s="36">
        <v>-0.2</v>
      </c>
      <c r="F45" s="37">
        <v>0</v>
      </c>
      <c r="G45" s="38">
        <v>0</v>
      </c>
      <c r="H45" s="5">
        <f t="shared" si="112"/>
        <v>4.0964125560538118</v>
      </c>
      <c r="I45" s="38">
        <f>H45</f>
        <v>4.0964125560538118</v>
      </c>
      <c r="J45" s="28">
        <f t="shared" si="86"/>
        <v>5.006726457399103</v>
      </c>
      <c r="K45" s="38">
        <f>J45</f>
        <v>5.006726457399103</v>
      </c>
      <c r="L45" s="30">
        <f t="shared" si="51"/>
        <v>7.032174887892376</v>
      </c>
      <c r="M45" s="39">
        <f>L45</f>
        <v>7.032174887892376</v>
      </c>
      <c r="N45" s="30">
        <f t="shared" si="117"/>
        <v>7.5783632286995521</v>
      </c>
      <c r="O45" s="39">
        <f t="shared" ref="O45" si="147">N45</f>
        <v>7.5783632286995521</v>
      </c>
      <c r="P45" s="30">
        <f t="shared" si="117"/>
        <v>8.7503923766816136</v>
      </c>
      <c r="Q45" s="39">
        <f t="shared" ref="Q45" si="148">P45</f>
        <v>8.7503923766816136</v>
      </c>
      <c r="R45" s="30">
        <f t="shared" si="117"/>
        <v>9.3534753363228695</v>
      </c>
      <c r="S45" s="39">
        <f t="shared" ref="S45" si="149">R45</f>
        <v>9.3534753363228695</v>
      </c>
      <c r="T45" s="30">
        <f t="shared" si="117"/>
        <v>10.265211603139013</v>
      </c>
      <c r="U45" s="39">
        <f t="shared" ref="U45" si="150">T45</f>
        <v>10.265211603139013</v>
      </c>
      <c r="V45" s="30">
        <f t="shared" si="117"/>
        <v>10.660629204035875</v>
      </c>
      <c r="W45" s="39">
        <f t="shared" ref="W45" si="151">V45</f>
        <v>10.660629204035875</v>
      </c>
      <c r="X45" s="30">
        <f t="shared" si="117"/>
        <v>11.332696889013452</v>
      </c>
      <c r="Y45" s="39">
        <f t="shared" ref="Y45" si="152">X45</f>
        <v>11.332696889013452</v>
      </c>
      <c r="Z45" s="30">
        <f t="shared" si="117"/>
        <v>11.686154708520181</v>
      </c>
      <c r="AA45" s="39">
        <f t="shared" ref="AA45" si="153">Z45</f>
        <v>11.686154708520181</v>
      </c>
      <c r="AB45" s="30">
        <f t="shared" si="117"/>
        <v>12.134377627522422</v>
      </c>
      <c r="AC45" s="39">
        <f t="shared" ref="AC45:AQ47" si="154">AB45</f>
        <v>12.134377627522422</v>
      </c>
      <c r="AD45" s="30">
        <f t="shared" si="118"/>
        <v>12.448720396580718</v>
      </c>
      <c r="AE45" s="39">
        <f t="shared" ref="AE45" si="155">AD45</f>
        <v>12.448720396580718</v>
      </c>
      <c r="AF45" s="30">
        <f t="shared" si="118"/>
        <v>12.928679845151347</v>
      </c>
      <c r="AG45" s="39">
        <f t="shared" ref="AG45" si="156">AF45</f>
        <v>12.928679845151347</v>
      </c>
      <c r="AH45" s="30">
        <f t="shared" si="118"/>
        <v>13.388903972813901</v>
      </c>
      <c r="AI45" s="39">
        <f t="shared" ref="AI45" si="157">AH45</f>
        <v>13.388903972813901</v>
      </c>
      <c r="AJ45" s="30">
        <f t="shared" si="118"/>
        <v>13.873091624991241</v>
      </c>
      <c r="AK45" s="39">
        <f t="shared" ref="AK45" si="158">AJ45</f>
        <v>13.873091624991241</v>
      </c>
      <c r="AL45" s="30">
        <f t="shared" si="118"/>
        <v>14.184289632891328</v>
      </c>
      <c r="AM45" s="39">
        <f t="shared" ref="AM45" si="159">AL45</f>
        <v>14.184289632891328</v>
      </c>
      <c r="AN45" s="30">
        <f t="shared" si="118"/>
        <v>14.52111522178479</v>
      </c>
      <c r="AO45" s="39">
        <f t="shared" ref="AO45" si="160">AN45</f>
        <v>14.52111522178479</v>
      </c>
      <c r="AP45" s="30">
        <f t="shared" si="118"/>
        <v>14.802901934294425</v>
      </c>
      <c r="AQ45" s="39">
        <f t="shared" ref="AQ45" si="161">AP45</f>
        <v>14.802901934294425</v>
      </c>
      <c r="AR45" s="30">
        <f t="shared" si="118"/>
        <v>15.050223370197108</v>
      </c>
      <c r="AS45" s="39">
        <f t="shared" ref="AS45:BG47" si="162">AR45</f>
        <v>15.050223370197108</v>
      </c>
      <c r="AT45" s="30">
        <f t="shared" si="116"/>
        <v>15.228428470286556</v>
      </c>
      <c r="AU45" s="39">
        <f t="shared" ref="AU45" si="163">AT45</f>
        <v>15.228428470286556</v>
      </c>
      <c r="AV45" s="30">
        <f t="shared" si="116"/>
        <v>15.530439094577671</v>
      </c>
      <c r="AW45" s="39">
        <f t="shared" ref="AW45" si="164">AV45</f>
        <v>15.530439094577671</v>
      </c>
      <c r="AX45" s="30">
        <f t="shared" si="116"/>
        <v>15.701782479307578</v>
      </c>
      <c r="AY45" s="39">
        <f t="shared" ref="AY45" si="165">AX45</f>
        <v>15.701782479307578</v>
      </c>
      <c r="AZ45" s="30">
        <f t="shared" si="116"/>
        <v>15.935712418962488</v>
      </c>
      <c r="BA45" s="39">
        <f t="shared" ref="BA45" si="166">AZ45</f>
        <v>15.935712418962488</v>
      </c>
      <c r="BB45" s="30">
        <f t="shared" si="116"/>
        <v>16.074358565390376</v>
      </c>
      <c r="BC45" s="39">
        <f t="shared" ref="BC45" si="167">BB45</f>
        <v>16.074358565390376</v>
      </c>
      <c r="BD45" s="30">
        <f t="shared" si="116"/>
        <v>16.263918954053803</v>
      </c>
      <c r="BE45" s="39">
        <f t="shared" ref="BE45" si="168">BD45</f>
        <v>16.263918954053803</v>
      </c>
      <c r="BF45" s="30">
        <f t="shared" si="116"/>
        <v>16.389767348926696</v>
      </c>
      <c r="BG45" s="39">
        <f t="shared" ref="BG45" si="169">BF45</f>
        <v>16.389767348926696</v>
      </c>
      <c r="BH45" s="30">
        <f t="shared" si="116"/>
        <v>16.537460907184489</v>
      </c>
      <c r="BI45" s="39">
        <f t="shared" ref="O45:BI58" si="170">BH45</f>
        <v>16.537460907184489</v>
      </c>
    </row>
    <row r="46" spans="2:61" x14ac:dyDescent="0.3">
      <c r="B46" s="34"/>
      <c r="C46" s="14">
        <f>C45+0.2</f>
        <v>0.4</v>
      </c>
      <c r="D46" s="35" t="s">
        <v>37</v>
      </c>
      <c r="E46" s="36">
        <f>E45-0.2</f>
        <v>-0.4</v>
      </c>
      <c r="F46" s="28">
        <v>0</v>
      </c>
      <c r="G46" s="38">
        <v>0</v>
      </c>
      <c r="H46" s="5">
        <f t="shared" si="112"/>
        <v>0</v>
      </c>
      <c r="I46" s="38">
        <f t="shared" ref="I46:I84" si="171">H46</f>
        <v>0</v>
      </c>
      <c r="J46" s="28">
        <f t="shared" si="86"/>
        <v>2.0482062780269059</v>
      </c>
      <c r="K46" s="38">
        <f t="shared" ref="K46:K84" si="172">J46</f>
        <v>2.0482062780269059</v>
      </c>
      <c r="L46" s="30">
        <f t="shared" si="51"/>
        <v>2.5033632286995515</v>
      </c>
      <c r="M46" s="39">
        <f t="shared" ref="M46:AA84" si="173">L46</f>
        <v>2.5033632286995515</v>
      </c>
      <c r="N46" s="30">
        <f t="shared" si="117"/>
        <v>4.0281390134529147</v>
      </c>
      <c r="O46" s="39">
        <f t="shared" si="173"/>
        <v>4.0281390134529147</v>
      </c>
      <c r="P46" s="30">
        <f t="shared" si="117"/>
        <v>4.4150224215246636</v>
      </c>
      <c r="Q46" s="39">
        <f t="shared" si="173"/>
        <v>4.4150224215246636</v>
      </c>
      <c r="R46" s="30">
        <f t="shared" si="117"/>
        <v>5.5102438340807174</v>
      </c>
      <c r="S46" s="39">
        <f t="shared" si="173"/>
        <v>5.5102438340807174</v>
      </c>
      <c r="T46" s="30">
        <f t="shared" si="117"/>
        <v>5.9369534753363222</v>
      </c>
      <c r="U46" s="39">
        <f t="shared" si="173"/>
        <v>5.9369534753363222</v>
      </c>
      <c r="V46" s="30">
        <f t="shared" si="117"/>
        <v>6.8259318946188339</v>
      </c>
      <c r="W46" s="39">
        <f t="shared" si="173"/>
        <v>6.8259318946188339</v>
      </c>
      <c r="X46" s="30">
        <f t="shared" si="117"/>
        <v>7.1687219730941703</v>
      </c>
      <c r="Y46" s="39">
        <f t="shared" si="173"/>
        <v>7.1687219730941703</v>
      </c>
      <c r="Z46" s="30">
        <f t="shared" si="117"/>
        <v>7.8831050308295953</v>
      </c>
      <c r="AA46" s="39">
        <f t="shared" si="173"/>
        <v>7.8831050308295953</v>
      </c>
      <c r="AB46" s="30">
        <f t="shared" si="117"/>
        <v>8.1931807034753383</v>
      </c>
      <c r="AC46" s="39">
        <f t="shared" si="154"/>
        <v>8.1931807034753383</v>
      </c>
      <c r="AD46" s="30">
        <f t="shared" si="118"/>
        <v>8.7434583450112111</v>
      </c>
      <c r="AE46" s="39">
        <f t="shared" si="154"/>
        <v>8.7434583450112111</v>
      </c>
      <c r="AF46" s="30">
        <f t="shared" si="118"/>
        <v>9.0266868693946201</v>
      </c>
      <c r="AG46" s="39">
        <f t="shared" si="154"/>
        <v>9.0266868693946201</v>
      </c>
      <c r="AH46" s="30">
        <f t="shared" si="118"/>
        <v>9.539905223076655</v>
      </c>
      <c r="AI46" s="39">
        <f t="shared" si="154"/>
        <v>9.539905223076655</v>
      </c>
      <c r="AJ46" s="30">
        <f t="shared" si="118"/>
        <v>9.8892070684732349</v>
      </c>
      <c r="AK46" s="39">
        <f t="shared" si="154"/>
        <v>9.8892070684732349</v>
      </c>
      <c r="AL46" s="30">
        <f t="shared" si="118"/>
        <v>10.380795465991103</v>
      </c>
      <c r="AM46" s="39">
        <f t="shared" si="154"/>
        <v>10.380795465991103</v>
      </c>
      <c r="AN46" s="30">
        <f t="shared" si="118"/>
        <v>10.671274720606785</v>
      </c>
      <c r="AO46" s="39">
        <f t="shared" si="154"/>
        <v>10.671274720606785</v>
      </c>
      <c r="AP46" s="30">
        <f t="shared" si="118"/>
        <v>11.074886202277625</v>
      </c>
      <c r="AQ46" s="39">
        <f t="shared" si="154"/>
        <v>11.074886202277625</v>
      </c>
      <c r="AR46" s="30">
        <f t="shared" si="118"/>
        <v>11.34029626546954</v>
      </c>
      <c r="AS46" s="39">
        <f t="shared" si="162"/>
        <v>11.34029626546954</v>
      </c>
      <c r="AT46" s="30">
        <f t="shared" si="116"/>
        <v>11.671230288792085</v>
      </c>
      <c r="AU46" s="39">
        <f t="shared" si="162"/>
        <v>11.671230288792085</v>
      </c>
      <c r="AV46" s="30">
        <f t="shared" si="116"/>
        <v>11.877495332897514</v>
      </c>
      <c r="AW46" s="39">
        <f t="shared" si="162"/>
        <v>11.877495332897514</v>
      </c>
      <c r="AX46" s="30">
        <f t="shared" si="116"/>
        <v>12.208840595553276</v>
      </c>
      <c r="AY46" s="39">
        <f t="shared" si="162"/>
        <v>12.208840595553276</v>
      </c>
      <c r="AZ46" s="30">
        <f t="shared" si="116"/>
        <v>12.39539410586849</v>
      </c>
      <c r="BA46" s="39">
        <f t="shared" si="162"/>
        <v>12.39539410586849</v>
      </c>
      <c r="BB46" s="30">
        <f t="shared" si="116"/>
        <v>12.683573389267174</v>
      </c>
      <c r="BC46" s="39">
        <f t="shared" si="162"/>
        <v>12.683573389267174</v>
      </c>
      <c r="BD46" s="30">
        <f t="shared" si="116"/>
        <v>12.844760043631755</v>
      </c>
      <c r="BE46" s="39">
        <f t="shared" si="162"/>
        <v>12.844760043631755</v>
      </c>
      <c r="BF46" s="30">
        <f t="shared" si="116"/>
        <v>13.094822402278405</v>
      </c>
      <c r="BG46" s="39">
        <f t="shared" si="162"/>
        <v>13.094822402278405</v>
      </c>
      <c r="BH46" s="30">
        <f t="shared" si="116"/>
        <v>13.240189744271504</v>
      </c>
      <c r="BI46" s="39">
        <f t="shared" si="170"/>
        <v>13.240189744271504</v>
      </c>
    </row>
    <row r="47" spans="2:61" x14ac:dyDescent="0.3">
      <c r="B47" s="34"/>
      <c r="C47" s="14">
        <f t="shared" ref="C47:C84" si="174">C46+0.2</f>
        <v>0.60000000000000009</v>
      </c>
      <c r="D47" s="35" t="s">
        <v>37</v>
      </c>
      <c r="E47" s="36">
        <f t="shared" ref="E47:E84" si="175">E46-0.2</f>
        <v>-0.60000000000000009</v>
      </c>
      <c r="F47" s="28">
        <v>0</v>
      </c>
      <c r="G47" s="38">
        <v>0</v>
      </c>
      <c r="H47" s="5">
        <f t="shared" si="112"/>
        <v>0</v>
      </c>
      <c r="I47" s="38">
        <f t="shared" si="171"/>
        <v>0</v>
      </c>
      <c r="J47" s="28">
        <f t="shared" si="86"/>
        <v>0</v>
      </c>
      <c r="K47" s="38">
        <f t="shared" si="172"/>
        <v>0</v>
      </c>
      <c r="L47" s="30">
        <f t="shared" si="51"/>
        <v>1.024103139013453</v>
      </c>
      <c r="M47" s="39">
        <f t="shared" si="173"/>
        <v>1.024103139013453</v>
      </c>
      <c r="N47" s="30">
        <f t="shared" si="117"/>
        <v>1.2516816143497758</v>
      </c>
      <c r="O47" s="39">
        <f t="shared" si="173"/>
        <v>1.2516816143497758</v>
      </c>
      <c r="P47" s="30">
        <f t="shared" si="117"/>
        <v>2.2700952914798207</v>
      </c>
      <c r="Q47" s="39">
        <f t="shared" si="173"/>
        <v>2.2700952914798207</v>
      </c>
      <c r="R47" s="30">
        <f t="shared" si="117"/>
        <v>2.5204316143497758</v>
      </c>
      <c r="S47" s="39">
        <f t="shared" si="173"/>
        <v>2.5204316143497758</v>
      </c>
      <c r="T47" s="30">
        <f t="shared" si="117"/>
        <v>3.3866521860986545</v>
      </c>
      <c r="U47" s="39">
        <f t="shared" si="173"/>
        <v>3.3866521860986545</v>
      </c>
      <c r="V47" s="30">
        <f t="shared" si="117"/>
        <v>3.676814742152466</v>
      </c>
      <c r="W47" s="39">
        <f t="shared" si="173"/>
        <v>3.676814742152466</v>
      </c>
      <c r="X47" s="30">
        <f t="shared" si="117"/>
        <v>4.43351317264574</v>
      </c>
      <c r="Y47" s="39">
        <f t="shared" si="173"/>
        <v>4.43351317264574</v>
      </c>
      <c r="Z47" s="30">
        <f t="shared" si="117"/>
        <v>4.7002066984304935</v>
      </c>
      <c r="AA47" s="39">
        <f t="shared" si="173"/>
        <v>4.7002066984304935</v>
      </c>
      <c r="AB47" s="30">
        <f t="shared" si="117"/>
        <v>5.3525390625</v>
      </c>
      <c r="AC47" s="39">
        <f t="shared" si="154"/>
        <v>5.3525390625</v>
      </c>
      <c r="AD47" s="30">
        <f t="shared" si="118"/>
        <v>5.604653342208521</v>
      </c>
      <c r="AE47" s="39">
        <f t="shared" si="154"/>
        <v>5.604653342208521</v>
      </c>
      <c r="AF47" s="30">
        <f t="shared" si="118"/>
        <v>6.1511306010019622</v>
      </c>
      <c r="AG47" s="39">
        <f t="shared" si="154"/>
        <v>6.1511306010019622</v>
      </c>
      <c r="AH47" s="30">
        <f t="shared" si="118"/>
        <v>6.3895101641325684</v>
      </c>
      <c r="AI47" s="39">
        <f t="shared" si="154"/>
        <v>6.3895101641325684</v>
      </c>
      <c r="AJ47" s="30">
        <f t="shared" si="118"/>
        <v>6.8884993069909619</v>
      </c>
      <c r="AK47" s="39">
        <f t="shared" si="154"/>
        <v>6.8884993069909619</v>
      </c>
      <c r="AL47" s="30">
        <f t="shared" si="118"/>
        <v>7.1582598083222404</v>
      </c>
      <c r="AM47" s="39">
        <f t="shared" si="154"/>
        <v>7.1582598083222404</v>
      </c>
      <c r="AN47" s="30">
        <f t="shared" si="118"/>
        <v>7.6286571827704606</v>
      </c>
      <c r="AO47" s="39">
        <f t="shared" si="154"/>
        <v>7.6286571827704606</v>
      </c>
      <c r="AP47" s="30">
        <f t="shared" si="118"/>
        <v>7.8776905966446558</v>
      </c>
      <c r="AQ47" s="39">
        <f t="shared" si="154"/>
        <v>7.8776905966446558</v>
      </c>
      <c r="AR47" s="30">
        <f t="shared" si="118"/>
        <v>8.2922372073870605</v>
      </c>
      <c r="AS47" s="39">
        <f t="shared" si="162"/>
        <v>8.2922372073870605</v>
      </c>
      <c r="AT47" s="30">
        <f t="shared" si="116"/>
        <v>8.5265621955084718</v>
      </c>
      <c r="AU47" s="39">
        <f t="shared" si="162"/>
        <v>8.5265621955084718</v>
      </c>
      <c r="AV47" s="30">
        <f t="shared" si="116"/>
        <v>8.8872420965288796</v>
      </c>
      <c r="AW47" s="39">
        <f t="shared" si="162"/>
        <v>8.8872420965288796</v>
      </c>
      <c r="AX47" s="30">
        <f t="shared" si="116"/>
        <v>9.0890057324294027</v>
      </c>
      <c r="AY47" s="39">
        <f t="shared" si="162"/>
        <v>9.0890057324294027</v>
      </c>
      <c r="AZ47" s="30">
        <f t="shared" si="116"/>
        <v>9.4314343595718597</v>
      </c>
      <c r="BA47" s="39">
        <f t="shared" si="162"/>
        <v>9.4314343595718597</v>
      </c>
      <c r="BB47" s="30">
        <f t="shared" si="116"/>
        <v>9.6151615218731337</v>
      </c>
      <c r="BC47" s="39">
        <f t="shared" si="162"/>
        <v>9.6151615218731337</v>
      </c>
      <c r="BD47" s="30">
        <f t="shared" si="116"/>
        <v>9.9257258505030066</v>
      </c>
      <c r="BE47" s="39">
        <f t="shared" si="162"/>
        <v>9.9257258505030066</v>
      </c>
      <c r="BF47" s="30">
        <f t="shared" si="116"/>
        <v>10.090612139616312</v>
      </c>
      <c r="BG47" s="39">
        <f t="shared" si="162"/>
        <v>10.090612139616312</v>
      </c>
      <c r="BH47" s="30">
        <f t="shared" si="116"/>
        <v>10.370085658006071</v>
      </c>
      <c r="BI47" s="39">
        <f t="shared" si="170"/>
        <v>10.370085658006071</v>
      </c>
    </row>
    <row r="48" spans="2:61" x14ac:dyDescent="0.3">
      <c r="B48" s="34"/>
      <c r="C48" s="14">
        <f t="shared" si="174"/>
        <v>0.8</v>
      </c>
      <c r="D48" s="35" t="s">
        <v>37</v>
      </c>
      <c r="E48" s="36">
        <f t="shared" si="175"/>
        <v>-0.8</v>
      </c>
      <c r="F48" s="28">
        <v>0</v>
      </c>
      <c r="G48" s="38">
        <v>0</v>
      </c>
      <c r="H48" s="5">
        <f t="shared" si="112"/>
        <v>0</v>
      </c>
      <c r="I48" s="38">
        <f t="shared" si="171"/>
        <v>0</v>
      </c>
      <c r="J48" s="28">
        <f t="shared" si="86"/>
        <v>0</v>
      </c>
      <c r="K48" s="38">
        <f t="shared" si="172"/>
        <v>0</v>
      </c>
      <c r="L48" s="30">
        <f t="shared" si="51"/>
        <v>0</v>
      </c>
      <c r="M48" s="39">
        <f t="shared" si="173"/>
        <v>0</v>
      </c>
      <c r="N48" s="30">
        <f t="shared" si="117"/>
        <v>0.51205156950672648</v>
      </c>
      <c r="O48" s="39">
        <f t="shared" si="170"/>
        <v>0.51205156950672648</v>
      </c>
      <c r="P48" s="30">
        <f t="shared" si="117"/>
        <v>0.62584080717488788</v>
      </c>
      <c r="Q48" s="39">
        <f t="shared" si="170"/>
        <v>0.62584080717488788</v>
      </c>
      <c r="R48" s="30">
        <f t="shared" si="117"/>
        <v>1.263060538116592</v>
      </c>
      <c r="S48" s="39">
        <f t="shared" si="170"/>
        <v>1.263060538116592</v>
      </c>
      <c r="T48" s="30">
        <f t="shared" si="117"/>
        <v>1.4166760089686099</v>
      </c>
      <c r="U48" s="39">
        <f t="shared" si="170"/>
        <v>1.4166760089686099</v>
      </c>
      <c r="V48" s="30">
        <f t="shared" si="117"/>
        <v>2.0410944506726456</v>
      </c>
      <c r="W48" s="39">
        <f t="shared" si="170"/>
        <v>2.0410944506726456</v>
      </c>
      <c r="X48" s="30">
        <f t="shared" si="117"/>
        <v>2.231691423766816</v>
      </c>
      <c r="Y48" s="39">
        <f t="shared" si="170"/>
        <v>2.231691423766816</v>
      </c>
      <c r="Z48" s="30">
        <f t="shared" si="117"/>
        <v>2.8219730941704038</v>
      </c>
      <c r="AA48" s="39">
        <f t="shared" si="170"/>
        <v>2.8219730941704038</v>
      </c>
      <c r="AB48" s="30">
        <f t="shared" si="117"/>
        <v>3.016125980941704</v>
      </c>
      <c r="AC48" s="39">
        <f t="shared" si="170"/>
        <v>3.016125980941704</v>
      </c>
      <c r="AD48" s="30">
        <f t="shared" si="118"/>
        <v>3.5588028569927133</v>
      </c>
      <c r="AE48" s="39">
        <f t="shared" si="170"/>
        <v>3.5588028569927133</v>
      </c>
      <c r="AF48" s="30">
        <f t="shared" si="118"/>
        <v>3.7523334588705159</v>
      </c>
      <c r="AG48" s="39">
        <f t="shared" si="170"/>
        <v>3.7523334588705159</v>
      </c>
      <c r="AH48" s="30">
        <f t="shared" si="118"/>
        <v>4.2370933909052688</v>
      </c>
      <c r="AI48" s="39">
        <f t="shared" si="170"/>
        <v>4.2370933909052688</v>
      </c>
      <c r="AJ48" s="30">
        <f t="shared" si="118"/>
        <v>4.427312548171245</v>
      </c>
      <c r="AK48" s="39">
        <f t="shared" si="170"/>
        <v>4.427312548171245</v>
      </c>
      <c r="AL48" s="30">
        <f t="shared" si="118"/>
        <v>4.8765188995498185</v>
      </c>
      <c r="AM48" s="39">
        <f t="shared" si="170"/>
        <v>4.8765188995498185</v>
      </c>
      <c r="AN48" s="30">
        <f t="shared" si="118"/>
        <v>5.0841064726825262</v>
      </c>
      <c r="AO48" s="39">
        <f t="shared" si="170"/>
        <v>5.0841064726825262</v>
      </c>
      <c r="AP48" s="30">
        <f t="shared" si="118"/>
        <v>5.5095882124964977</v>
      </c>
      <c r="AQ48" s="39">
        <f t="shared" si="170"/>
        <v>5.5095882124964977</v>
      </c>
      <c r="AR48" s="30">
        <f t="shared" si="118"/>
        <v>5.7128281255474018</v>
      </c>
      <c r="AS48" s="39">
        <f t="shared" si="170"/>
        <v>5.7128281255474018</v>
      </c>
      <c r="AT48" s="30">
        <f t="shared" si="116"/>
        <v>6.1032539042656735</v>
      </c>
      <c r="AU48" s="39">
        <f t="shared" si="170"/>
        <v>6.1032539042656735</v>
      </c>
      <c r="AV48" s="30">
        <f t="shared" si="116"/>
        <v>6.3005161319612935</v>
      </c>
      <c r="AW48" s="39">
        <f t="shared" si="170"/>
        <v>6.3005161319612935</v>
      </c>
      <c r="AX48" s="30">
        <f t="shared" si="116"/>
        <v>6.6540281235904448</v>
      </c>
      <c r="AY48" s="39">
        <f t="shared" si="170"/>
        <v>6.6540281235904448</v>
      </c>
      <c r="AZ48" s="30">
        <f t="shared" si="116"/>
        <v>6.8349289378777751</v>
      </c>
      <c r="BA48" s="39">
        <f t="shared" si="170"/>
        <v>6.8349289378777751</v>
      </c>
      <c r="BB48" s="30">
        <f t="shared" si="116"/>
        <v>7.1678783117388409</v>
      </c>
      <c r="BC48" s="39">
        <f t="shared" si="170"/>
        <v>7.1678783117388409</v>
      </c>
      <c r="BD48" s="30">
        <f t="shared" si="116"/>
        <v>7.3364642356008698</v>
      </c>
      <c r="BE48" s="39">
        <f t="shared" si="170"/>
        <v>7.3364642356008698</v>
      </c>
      <c r="BF48" s="30">
        <f t="shared" si="116"/>
        <v>7.6453489137337352</v>
      </c>
      <c r="BG48" s="39">
        <f t="shared" si="170"/>
        <v>7.6453489137337352</v>
      </c>
      <c r="BH48" s="30">
        <f t="shared" si="116"/>
        <v>7.80120520542288</v>
      </c>
      <c r="BI48" s="39">
        <f t="shared" si="170"/>
        <v>7.80120520542288</v>
      </c>
    </row>
    <row r="49" spans="2:61" x14ac:dyDescent="0.3">
      <c r="B49" s="34"/>
      <c r="C49" s="14">
        <f t="shared" si="174"/>
        <v>1</v>
      </c>
      <c r="D49" s="35" t="s">
        <v>37</v>
      </c>
      <c r="E49" s="36">
        <f t="shared" si="175"/>
        <v>-1</v>
      </c>
      <c r="F49" s="28">
        <v>0</v>
      </c>
      <c r="G49" s="38">
        <v>0</v>
      </c>
      <c r="H49" s="5">
        <f t="shared" si="112"/>
        <v>0</v>
      </c>
      <c r="I49" s="38">
        <f t="shared" si="171"/>
        <v>0</v>
      </c>
      <c r="J49" s="28">
        <f t="shared" si="86"/>
        <v>0</v>
      </c>
      <c r="K49" s="38">
        <f t="shared" si="172"/>
        <v>0</v>
      </c>
      <c r="L49" s="30">
        <f t="shared" si="51"/>
        <v>0</v>
      </c>
      <c r="M49" s="39">
        <f t="shared" si="173"/>
        <v>0</v>
      </c>
      <c r="N49" s="30">
        <f t="shared" si="117"/>
        <v>0</v>
      </c>
      <c r="O49" s="39">
        <f t="shared" si="170"/>
        <v>0</v>
      </c>
      <c r="P49" s="30">
        <f t="shared" si="117"/>
        <v>0.25602578475336324</v>
      </c>
      <c r="Q49" s="39">
        <f t="shared" si="170"/>
        <v>0.25602578475336324</v>
      </c>
      <c r="R49" s="30">
        <f t="shared" si="117"/>
        <v>0.31292040358744394</v>
      </c>
      <c r="S49" s="39">
        <f t="shared" si="170"/>
        <v>0.31292040358744394</v>
      </c>
      <c r="T49" s="30">
        <f t="shared" si="117"/>
        <v>0.69553671524663685</v>
      </c>
      <c r="U49" s="39">
        <f t="shared" si="170"/>
        <v>0.69553671524663685</v>
      </c>
      <c r="V49" s="30">
        <f t="shared" si="117"/>
        <v>0.78656810538116595</v>
      </c>
      <c r="W49" s="39">
        <f t="shared" si="170"/>
        <v>0.78656810538116595</v>
      </c>
      <c r="X49" s="30">
        <f t="shared" si="117"/>
        <v>1.2104330156950671</v>
      </c>
      <c r="Y49" s="39">
        <f t="shared" si="170"/>
        <v>1.2104330156950671</v>
      </c>
      <c r="Z49" s="30">
        <f t="shared" si="117"/>
        <v>1.3320452634529147</v>
      </c>
      <c r="AA49" s="39">
        <f t="shared" si="170"/>
        <v>1.3320452634529147</v>
      </c>
      <c r="AB49" s="30">
        <f t="shared" si="117"/>
        <v>1.7650666514854261</v>
      </c>
      <c r="AC49" s="39">
        <f t="shared" si="170"/>
        <v>1.7650666514854261</v>
      </c>
      <c r="AD49" s="30">
        <f t="shared" si="118"/>
        <v>1.9000135755325112</v>
      </c>
      <c r="AE49" s="39">
        <f t="shared" si="170"/>
        <v>1.9000135755325112</v>
      </c>
      <c r="AF49" s="30">
        <f t="shared" si="118"/>
        <v>2.3230561808085763</v>
      </c>
      <c r="AG49" s="39">
        <f t="shared" si="170"/>
        <v>2.3230561808085763</v>
      </c>
      <c r="AH49" s="30">
        <f t="shared" si="118"/>
        <v>2.4651149322099215</v>
      </c>
      <c r="AI49" s="39">
        <f t="shared" si="170"/>
        <v>2.4651149322099215</v>
      </c>
      <c r="AJ49" s="30">
        <f t="shared" si="118"/>
        <v>2.8645384921086743</v>
      </c>
      <c r="AK49" s="39">
        <f t="shared" si="170"/>
        <v>2.8645384921086743</v>
      </c>
      <c r="AL49" s="30">
        <f t="shared" si="118"/>
        <v>3.0099531370428112</v>
      </c>
      <c r="AM49" s="39">
        <f t="shared" si="170"/>
        <v>3.0099531370428112</v>
      </c>
      <c r="AN49" s="30">
        <f t="shared" si="118"/>
        <v>3.3905192422225339</v>
      </c>
      <c r="AO49" s="39">
        <f t="shared" si="170"/>
        <v>3.3905192422225339</v>
      </c>
      <c r="AP49" s="30">
        <f t="shared" si="118"/>
        <v>3.5479656544501479</v>
      </c>
      <c r="AQ49" s="39">
        <f t="shared" si="170"/>
        <v>3.5479656544501479</v>
      </c>
      <c r="AR49" s="30">
        <f t="shared" si="118"/>
        <v>3.9142706011442865</v>
      </c>
      <c r="AS49" s="39">
        <f t="shared" si="170"/>
        <v>3.9142706011442865</v>
      </c>
      <c r="AT49" s="30">
        <f t="shared" si="116"/>
        <v>4.074470068414116</v>
      </c>
      <c r="AU49" s="39">
        <f t="shared" si="170"/>
        <v>4.074470068414116</v>
      </c>
      <c r="AV49" s="30">
        <f t="shared" si="116"/>
        <v>4.4208141506520091</v>
      </c>
      <c r="AW49" s="39">
        <f t="shared" si="170"/>
        <v>4.4208141506520091</v>
      </c>
      <c r="AX49" s="30">
        <f t="shared" si="116"/>
        <v>4.5808521433261484</v>
      </c>
      <c r="AY49" s="39">
        <f t="shared" si="170"/>
        <v>4.5808521433261484</v>
      </c>
      <c r="AZ49" s="30">
        <f t="shared" si="116"/>
        <v>4.9043222639058213</v>
      </c>
      <c r="BA49" s="39">
        <f t="shared" si="170"/>
        <v>4.9043222639058213</v>
      </c>
      <c r="BB49" s="30">
        <f t="shared" si="116"/>
        <v>5.0577669493286068</v>
      </c>
      <c r="BC49" s="39">
        <f t="shared" si="170"/>
        <v>5.0577669493286068</v>
      </c>
      <c r="BD49" s="30">
        <f t="shared" si="116"/>
        <v>5.3649719769644637</v>
      </c>
      <c r="BE49" s="39">
        <f t="shared" si="170"/>
        <v>5.3649719769644637</v>
      </c>
      <c r="BF49" s="30">
        <f t="shared" si="116"/>
        <v>5.5117982712294493</v>
      </c>
      <c r="BG49" s="39">
        <f t="shared" si="170"/>
        <v>5.5117982712294493</v>
      </c>
      <c r="BH49" s="30">
        <f t="shared" si="116"/>
        <v>5.8018895106933046</v>
      </c>
      <c r="BI49" s="39">
        <f t="shared" si="170"/>
        <v>5.8018895106933046</v>
      </c>
    </row>
    <row r="50" spans="2:61" x14ac:dyDescent="0.3">
      <c r="B50" s="34"/>
      <c r="C50" s="14">
        <f t="shared" si="174"/>
        <v>1.2</v>
      </c>
      <c r="D50" s="35" t="s">
        <v>37</v>
      </c>
      <c r="E50" s="36">
        <f t="shared" si="175"/>
        <v>-1.2</v>
      </c>
      <c r="F50" s="28">
        <v>0</v>
      </c>
      <c r="G50" s="38">
        <v>0</v>
      </c>
      <c r="H50" s="5">
        <f t="shared" si="112"/>
        <v>0</v>
      </c>
      <c r="I50" s="38">
        <f t="shared" si="171"/>
        <v>0</v>
      </c>
      <c r="J50" s="28">
        <f t="shared" si="86"/>
        <v>0</v>
      </c>
      <c r="K50" s="38">
        <f t="shared" si="172"/>
        <v>0</v>
      </c>
      <c r="L50" s="30">
        <f t="shared" si="51"/>
        <v>0</v>
      </c>
      <c r="M50" s="39">
        <f t="shared" si="173"/>
        <v>0</v>
      </c>
      <c r="N50" s="30">
        <f t="shared" si="117"/>
        <v>0</v>
      </c>
      <c r="O50" s="39">
        <f t="shared" si="170"/>
        <v>0</v>
      </c>
      <c r="P50" s="30">
        <f t="shared" si="117"/>
        <v>0</v>
      </c>
      <c r="Q50" s="39">
        <f t="shared" si="170"/>
        <v>0</v>
      </c>
      <c r="R50" s="30">
        <f t="shared" si="117"/>
        <v>0.12801289237668162</v>
      </c>
      <c r="S50" s="39">
        <f t="shared" si="170"/>
        <v>0.12801289237668162</v>
      </c>
      <c r="T50" s="30">
        <f t="shared" si="117"/>
        <v>0.15646020179372197</v>
      </c>
      <c r="U50" s="39">
        <f t="shared" si="170"/>
        <v>0.15646020179372197</v>
      </c>
      <c r="V50" s="30">
        <f t="shared" si="117"/>
        <v>0.37977158071748884</v>
      </c>
      <c r="W50" s="39">
        <f t="shared" si="170"/>
        <v>0.37977158071748884</v>
      </c>
      <c r="X50" s="30">
        <f t="shared" si="117"/>
        <v>0.43239910313901347</v>
      </c>
      <c r="Y50" s="39">
        <f t="shared" si="170"/>
        <v>0.43239910313901347</v>
      </c>
      <c r="Z50" s="30">
        <f t="shared" si="117"/>
        <v>0.70816020880044839</v>
      </c>
      <c r="AA50" s="39">
        <f t="shared" si="170"/>
        <v>0.70816020880044839</v>
      </c>
      <c r="AB50" s="30">
        <f t="shared" si="117"/>
        <v>0.78390117012331839</v>
      </c>
      <c r="AC50" s="39">
        <f t="shared" si="170"/>
        <v>0.78390117012331839</v>
      </c>
      <c r="AD50" s="30">
        <f t="shared" si="118"/>
        <v>1.0873095046244394</v>
      </c>
      <c r="AE50" s="39">
        <f t="shared" si="170"/>
        <v>1.0873095046244394</v>
      </c>
      <c r="AF50" s="30">
        <f t="shared" si="118"/>
        <v>1.1778964055493273</v>
      </c>
      <c r="AG50" s="39">
        <f t="shared" si="170"/>
        <v>1.1778964055493273</v>
      </c>
      <c r="AH50" s="30">
        <f t="shared" si="118"/>
        <v>1.4919835933120797</v>
      </c>
      <c r="AI50" s="39">
        <f t="shared" si="170"/>
        <v>1.4919835933120797</v>
      </c>
      <c r="AJ50" s="30">
        <f t="shared" si="118"/>
        <v>1.5925937259143779</v>
      </c>
      <c r="AK50" s="39">
        <f t="shared" si="170"/>
        <v>1.5925937259143779</v>
      </c>
      <c r="AL50" s="30">
        <f t="shared" si="118"/>
        <v>1.9045195848952494</v>
      </c>
      <c r="AM50" s="39">
        <f t="shared" si="170"/>
        <v>1.9045195848952494</v>
      </c>
      <c r="AN50" s="30">
        <f t="shared" si="118"/>
        <v>2.0118248362177691</v>
      </c>
      <c r="AO50" s="39">
        <f t="shared" si="170"/>
        <v>2.0118248362177691</v>
      </c>
      <c r="AP50" s="30">
        <f t="shared" si="118"/>
        <v>2.3189529897920753</v>
      </c>
      <c r="AQ50" s="39">
        <f t="shared" si="170"/>
        <v>2.3189529897920753</v>
      </c>
      <c r="AR50" s="30">
        <f t="shared" si="118"/>
        <v>2.4361120112808301</v>
      </c>
      <c r="AS50" s="39">
        <f t="shared" si="170"/>
        <v>2.4361120112808301</v>
      </c>
      <c r="AT50" s="30">
        <f t="shared" si="116"/>
        <v>2.7383743970383447</v>
      </c>
      <c r="AU50" s="39">
        <f t="shared" si="170"/>
        <v>2.7383743970383447</v>
      </c>
      <c r="AV50" s="30">
        <f t="shared" si="116"/>
        <v>2.8611881546910038</v>
      </c>
      <c r="AW50" s="39">
        <f t="shared" si="170"/>
        <v>2.8611881546910038</v>
      </c>
      <c r="AX50" s="30">
        <f t="shared" si="116"/>
        <v>3.1546164042211973</v>
      </c>
      <c r="AY50" s="39">
        <f t="shared" si="170"/>
        <v>3.1546164042211973</v>
      </c>
      <c r="AZ50" s="30">
        <f t="shared" si="116"/>
        <v>3.2806049607794385</v>
      </c>
      <c r="BA50" s="39">
        <f t="shared" si="170"/>
        <v>3.2806049607794385</v>
      </c>
      <c r="BB50" s="30">
        <f t="shared" si="116"/>
        <v>3.5620656421900869</v>
      </c>
      <c r="BC50" s="39">
        <f t="shared" si="170"/>
        <v>3.5620656421900869</v>
      </c>
      <c r="BD50" s="30">
        <f t="shared" si="116"/>
        <v>3.6871323068580288</v>
      </c>
      <c r="BE50" s="39">
        <f t="shared" si="170"/>
        <v>3.6871323068580288</v>
      </c>
      <c r="BF50" s="30">
        <f t="shared" si="116"/>
        <v>3.9584301076528741</v>
      </c>
      <c r="BG50" s="39">
        <f t="shared" si="170"/>
        <v>3.9584301076528741</v>
      </c>
      <c r="BH50" s="30">
        <f t="shared" si="116"/>
        <v>4.0812537241543358</v>
      </c>
      <c r="BI50" s="39">
        <f t="shared" si="170"/>
        <v>4.0812537241543358</v>
      </c>
    </row>
    <row r="51" spans="2:61" x14ac:dyDescent="0.3">
      <c r="B51" s="34"/>
      <c r="C51" s="14">
        <f t="shared" si="174"/>
        <v>1.4</v>
      </c>
      <c r="D51" s="35" t="s">
        <v>37</v>
      </c>
      <c r="E51" s="36">
        <f t="shared" si="175"/>
        <v>-1.4</v>
      </c>
      <c r="F51" s="28">
        <v>0</v>
      </c>
      <c r="G51" s="38">
        <v>0</v>
      </c>
      <c r="H51" s="5">
        <f t="shared" si="112"/>
        <v>0</v>
      </c>
      <c r="I51" s="38">
        <f t="shared" si="171"/>
        <v>0</v>
      </c>
      <c r="J51" s="28">
        <f t="shared" si="86"/>
        <v>0</v>
      </c>
      <c r="K51" s="38">
        <f t="shared" si="172"/>
        <v>0</v>
      </c>
      <c r="L51" s="30">
        <f t="shared" si="51"/>
        <v>0</v>
      </c>
      <c r="M51" s="39">
        <f t="shared" si="173"/>
        <v>0</v>
      </c>
      <c r="N51" s="30">
        <f t="shared" si="117"/>
        <v>0</v>
      </c>
      <c r="O51" s="39">
        <f t="shared" si="170"/>
        <v>0</v>
      </c>
      <c r="P51" s="30">
        <f t="shared" si="117"/>
        <v>0</v>
      </c>
      <c r="Q51" s="39">
        <f t="shared" si="170"/>
        <v>0</v>
      </c>
      <c r="R51" s="30">
        <f t="shared" si="117"/>
        <v>0</v>
      </c>
      <c r="S51" s="39">
        <f t="shared" si="170"/>
        <v>0</v>
      </c>
      <c r="T51" s="30">
        <f t="shared" si="117"/>
        <v>6.400644618834081E-2</v>
      </c>
      <c r="U51" s="39">
        <f t="shared" si="170"/>
        <v>6.400644618834081E-2</v>
      </c>
      <c r="V51" s="30">
        <f t="shared" si="117"/>
        <v>7.8230100896860985E-2</v>
      </c>
      <c r="W51" s="39">
        <f t="shared" si="170"/>
        <v>7.8230100896860985E-2</v>
      </c>
      <c r="X51" s="30">
        <f t="shared" si="117"/>
        <v>0.20588740190582963</v>
      </c>
      <c r="Y51" s="39">
        <f t="shared" si="170"/>
        <v>0.20588740190582963</v>
      </c>
      <c r="Z51" s="30">
        <f t="shared" si="117"/>
        <v>0.23575707679372199</v>
      </c>
      <c r="AA51" s="39">
        <f t="shared" si="170"/>
        <v>0.23575707679372199</v>
      </c>
      <c r="AB51" s="30">
        <f t="shared" si="117"/>
        <v>0.40955235776345289</v>
      </c>
      <c r="AC51" s="39">
        <f t="shared" si="170"/>
        <v>0.40955235776345289</v>
      </c>
      <c r="AD51" s="30">
        <f t="shared" si="118"/>
        <v>0.45577923556614353</v>
      </c>
      <c r="AE51" s="39">
        <f t="shared" si="170"/>
        <v>0.45577923556614353</v>
      </c>
      <c r="AF51" s="30">
        <f t="shared" si="118"/>
        <v>0.66091100581558293</v>
      </c>
      <c r="AG51" s="39">
        <f t="shared" si="170"/>
        <v>0.66091100581558293</v>
      </c>
      <c r="AH51" s="30">
        <f t="shared" si="118"/>
        <v>0.72007251961883401</v>
      </c>
      <c r="AI51" s="39">
        <f t="shared" si="170"/>
        <v>0.72007251961883401</v>
      </c>
      <c r="AJ51" s="30">
        <f t="shared" si="118"/>
        <v>0.94450067768182455</v>
      </c>
      <c r="AK51" s="39">
        <f t="shared" si="170"/>
        <v>0.94450067768182455</v>
      </c>
      <c r="AL51" s="30">
        <f t="shared" si="118"/>
        <v>1.013696535392727</v>
      </c>
      <c r="AM51" s="39">
        <f t="shared" si="170"/>
        <v>1.013696535392727</v>
      </c>
      <c r="AN51" s="30">
        <f t="shared" si="118"/>
        <v>1.2473867373616172</v>
      </c>
      <c r="AO51" s="39">
        <f t="shared" si="170"/>
        <v>1.2473867373616172</v>
      </c>
      <c r="AP51" s="30">
        <f t="shared" si="118"/>
        <v>1.3242583681115121</v>
      </c>
      <c r="AQ51" s="39">
        <f t="shared" si="170"/>
        <v>1.3242583681115121</v>
      </c>
      <c r="AR51" s="30">
        <f t="shared" si="118"/>
        <v>1.5624781929324025</v>
      </c>
      <c r="AS51" s="39">
        <f t="shared" si="170"/>
        <v>1.5624781929324025</v>
      </c>
      <c r="AT51" s="30">
        <f t="shared" ref="AT51:BH66" si="176">(AS52+AS50)/2</f>
        <v>1.647906240967892</v>
      </c>
      <c r="AU51" s="39">
        <f t="shared" si="170"/>
        <v>1.647906240967892</v>
      </c>
      <c r="AV51" s="30">
        <f t="shared" si="176"/>
        <v>1.8884186577903852</v>
      </c>
      <c r="AW51" s="39">
        <f t="shared" si="170"/>
        <v>1.8884186577903852</v>
      </c>
      <c r="AX51" s="30">
        <f t="shared" si="176"/>
        <v>1.9803577782327286</v>
      </c>
      <c r="AY51" s="39">
        <f t="shared" si="170"/>
        <v>1.9803577782327286</v>
      </c>
      <c r="AZ51" s="30">
        <f t="shared" si="176"/>
        <v>2.2198090204743526</v>
      </c>
      <c r="BA51" s="39">
        <f t="shared" si="170"/>
        <v>2.2198090204743526</v>
      </c>
      <c r="BB51" s="30">
        <f t="shared" si="176"/>
        <v>2.3164976643874509</v>
      </c>
      <c r="BC51" s="39">
        <f t="shared" si="170"/>
        <v>2.3164976643874509</v>
      </c>
      <c r="BD51" s="30">
        <f t="shared" si="176"/>
        <v>2.5518882383412844</v>
      </c>
      <c r="BE51" s="39">
        <f t="shared" si="170"/>
        <v>2.5518882383412844</v>
      </c>
      <c r="BF51" s="30">
        <f t="shared" si="176"/>
        <v>2.6507091770792224</v>
      </c>
      <c r="BG51" s="39">
        <f t="shared" si="170"/>
        <v>2.6507091770792224</v>
      </c>
      <c r="BH51" s="30">
        <f t="shared" si="176"/>
        <v>2.8816199121119732</v>
      </c>
      <c r="BI51" s="39">
        <f t="shared" si="170"/>
        <v>2.8816199121119732</v>
      </c>
    </row>
    <row r="52" spans="2:61" x14ac:dyDescent="0.3">
      <c r="B52" s="34"/>
      <c r="C52" s="14">
        <f t="shared" si="174"/>
        <v>1.5999999999999999</v>
      </c>
      <c r="D52" s="35" t="s">
        <v>37</v>
      </c>
      <c r="E52" s="36">
        <f t="shared" si="175"/>
        <v>-1.5999999999999999</v>
      </c>
      <c r="F52" s="28">
        <v>0</v>
      </c>
      <c r="G52" s="38">
        <v>0</v>
      </c>
      <c r="H52" s="5">
        <f t="shared" si="112"/>
        <v>0</v>
      </c>
      <c r="I52" s="38">
        <f t="shared" si="171"/>
        <v>0</v>
      </c>
      <c r="J52" s="28">
        <f t="shared" si="86"/>
        <v>0</v>
      </c>
      <c r="K52" s="38">
        <f t="shared" si="172"/>
        <v>0</v>
      </c>
      <c r="L52" s="30">
        <f t="shared" si="51"/>
        <v>0</v>
      </c>
      <c r="M52" s="39">
        <f t="shared" si="173"/>
        <v>0</v>
      </c>
      <c r="N52" s="30">
        <f t="shared" ref="N52:AB67" si="177">(M53+M51)/2</f>
        <v>0</v>
      </c>
      <c r="O52" s="39">
        <f t="shared" si="170"/>
        <v>0</v>
      </c>
      <c r="P52" s="30">
        <f t="shared" si="177"/>
        <v>0</v>
      </c>
      <c r="Q52" s="39">
        <f t="shared" si="170"/>
        <v>0</v>
      </c>
      <c r="R52" s="30">
        <f t="shared" si="177"/>
        <v>0</v>
      </c>
      <c r="S52" s="39">
        <f t="shared" si="170"/>
        <v>0</v>
      </c>
      <c r="T52" s="30">
        <f t="shared" si="177"/>
        <v>0</v>
      </c>
      <c r="U52" s="39">
        <f t="shared" si="170"/>
        <v>0</v>
      </c>
      <c r="V52" s="30">
        <f t="shared" si="177"/>
        <v>3.2003223094170405E-2</v>
      </c>
      <c r="W52" s="39">
        <f t="shared" si="170"/>
        <v>3.2003223094170405E-2</v>
      </c>
      <c r="X52" s="30">
        <f t="shared" si="177"/>
        <v>3.9115050448430493E-2</v>
      </c>
      <c r="Y52" s="39">
        <f t="shared" si="170"/>
        <v>3.9115050448430493E-2</v>
      </c>
      <c r="Z52" s="30">
        <f t="shared" si="177"/>
        <v>0.11094450672645742</v>
      </c>
      <c r="AA52" s="39">
        <f t="shared" si="170"/>
        <v>0.11094450672645742</v>
      </c>
      <c r="AB52" s="30">
        <f t="shared" si="177"/>
        <v>0.1276573010089686</v>
      </c>
      <c r="AC52" s="39">
        <f t="shared" si="170"/>
        <v>0.1276573010089686</v>
      </c>
      <c r="AD52" s="30">
        <f t="shared" ref="AD52:AR67" si="178">(AC53+AC51)/2</f>
        <v>0.23451250700672646</v>
      </c>
      <c r="AE52" s="39">
        <f t="shared" si="170"/>
        <v>0.23451250700672646</v>
      </c>
      <c r="AF52" s="30">
        <f t="shared" si="178"/>
        <v>0.26224863368834084</v>
      </c>
      <c r="AG52" s="39">
        <f t="shared" si="170"/>
        <v>0.26224863368834084</v>
      </c>
      <c r="AH52" s="30">
        <f t="shared" si="178"/>
        <v>0.39701776205156947</v>
      </c>
      <c r="AI52" s="39">
        <f t="shared" si="170"/>
        <v>0.39701776205156947</v>
      </c>
      <c r="AJ52" s="30">
        <f t="shared" si="178"/>
        <v>0.43479934487107619</v>
      </c>
      <c r="AK52" s="39">
        <f t="shared" si="170"/>
        <v>0.43479934487107619</v>
      </c>
      <c r="AL52" s="30">
        <f t="shared" si="178"/>
        <v>0.59025388982798488</v>
      </c>
      <c r="AM52" s="39">
        <f t="shared" si="170"/>
        <v>0.59025388982798488</v>
      </c>
      <c r="AN52" s="30">
        <f t="shared" si="178"/>
        <v>0.636691900005255</v>
      </c>
      <c r="AO52" s="39">
        <f t="shared" si="170"/>
        <v>0.636691900005255</v>
      </c>
      <c r="AP52" s="30">
        <f t="shared" si="178"/>
        <v>0.80600339607272986</v>
      </c>
      <c r="AQ52" s="39">
        <f t="shared" si="170"/>
        <v>0.80600339607272986</v>
      </c>
      <c r="AR52" s="30">
        <f t="shared" si="178"/>
        <v>0.85970047065495381</v>
      </c>
      <c r="AS52" s="39">
        <f t="shared" si="170"/>
        <v>0.85970047065495381</v>
      </c>
      <c r="AT52" s="30">
        <f t="shared" si="176"/>
        <v>1.0384629185424257</v>
      </c>
      <c r="AU52" s="39">
        <f t="shared" si="170"/>
        <v>1.0384629185424257</v>
      </c>
      <c r="AV52" s="30">
        <f t="shared" si="176"/>
        <v>1.0995274017744536</v>
      </c>
      <c r="AW52" s="39">
        <f t="shared" si="170"/>
        <v>1.0995274017744536</v>
      </c>
      <c r="AX52" s="30">
        <f t="shared" si="176"/>
        <v>1.2850016367275083</v>
      </c>
      <c r="AY52" s="39">
        <f t="shared" si="170"/>
        <v>1.2850016367275083</v>
      </c>
      <c r="AZ52" s="30">
        <f t="shared" si="176"/>
        <v>1.3523903679954632</v>
      </c>
      <c r="BA52" s="39">
        <f t="shared" si="170"/>
        <v>1.3523903679954632</v>
      </c>
      <c r="BB52" s="30">
        <f t="shared" si="176"/>
        <v>1.5417108344924824</v>
      </c>
      <c r="BC52" s="39">
        <f t="shared" si="170"/>
        <v>1.5417108344924824</v>
      </c>
      <c r="BD52" s="30">
        <f t="shared" si="176"/>
        <v>1.6142860473004159</v>
      </c>
      <c r="BE52" s="39">
        <f t="shared" si="170"/>
        <v>1.6142860473004159</v>
      </c>
      <c r="BF52" s="30">
        <f t="shared" si="176"/>
        <v>1.8048097165710724</v>
      </c>
      <c r="BG52" s="39">
        <f t="shared" si="170"/>
        <v>1.8048097165710724</v>
      </c>
      <c r="BH52" s="30">
        <f t="shared" si="176"/>
        <v>1.8809267818526838</v>
      </c>
      <c r="BI52" s="39">
        <f t="shared" si="170"/>
        <v>1.8809267818526838</v>
      </c>
    </row>
    <row r="53" spans="2:61" x14ac:dyDescent="0.3">
      <c r="B53" s="34"/>
      <c r="C53" s="14">
        <f t="shared" si="174"/>
        <v>1.7999999999999998</v>
      </c>
      <c r="D53" s="35" t="s">
        <v>37</v>
      </c>
      <c r="E53" s="36">
        <f t="shared" si="175"/>
        <v>-1.7999999999999998</v>
      </c>
      <c r="F53" s="28">
        <v>0</v>
      </c>
      <c r="G53" s="38">
        <v>0</v>
      </c>
      <c r="H53" s="5">
        <f t="shared" si="112"/>
        <v>0</v>
      </c>
      <c r="I53" s="38">
        <f t="shared" si="171"/>
        <v>0</v>
      </c>
      <c r="J53" s="28">
        <f t="shared" si="86"/>
        <v>0</v>
      </c>
      <c r="K53" s="38">
        <f t="shared" si="172"/>
        <v>0</v>
      </c>
      <c r="L53" s="30">
        <f t="shared" si="51"/>
        <v>0</v>
      </c>
      <c r="M53" s="39">
        <f t="shared" si="173"/>
        <v>0</v>
      </c>
      <c r="N53" s="30">
        <f t="shared" si="177"/>
        <v>0</v>
      </c>
      <c r="O53" s="39">
        <f t="shared" si="170"/>
        <v>0</v>
      </c>
      <c r="P53" s="30">
        <f t="shared" si="177"/>
        <v>0</v>
      </c>
      <c r="Q53" s="39">
        <f t="shared" si="170"/>
        <v>0</v>
      </c>
      <c r="R53" s="30">
        <f t="shared" si="177"/>
        <v>0</v>
      </c>
      <c r="S53" s="39">
        <f t="shared" si="170"/>
        <v>0</v>
      </c>
      <c r="T53" s="30">
        <f t="shared" si="177"/>
        <v>0</v>
      </c>
      <c r="U53" s="39">
        <f t="shared" si="170"/>
        <v>0</v>
      </c>
      <c r="V53" s="30">
        <f t="shared" si="177"/>
        <v>0</v>
      </c>
      <c r="W53" s="39">
        <f t="shared" si="170"/>
        <v>0</v>
      </c>
      <c r="X53" s="30">
        <f t="shared" si="177"/>
        <v>1.6001611547085202E-2</v>
      </c>
      <c r="Y53" s="39">
        <f t="shared" si="170"/>
        <v>1.6001611547085202E-2</v>
      </c>
      <c r="Z53" s="30">
        <f t="shared" si="177"/>
        <v>1.9557525224215246E-2</v>
      </c>
      <c r="AA53" s="39">
        <f t="shared" si="170"/>
        <v>1.9557525224215246E-2</v>
      </c>
      <c r="AB53" s="30">
        <f t="shared" si="177"/>
        <v>5.9472656250000012E-2</v>
      </c>
      <c r="AC53" s="39">
        <f t="shared" si="170"/>
        <v>5.9472656250000012E-2</v>
      </c>
      <c r="AD53" s="30">
        <f t="shared" si="178"/>
        <v>6.8718031810538108E-2</v>
      </c>
      <c r="AE53" s="39">
        <f t="shared" si="170"/>
        <v>6.8718031810538108E-2</v>
      </c>
      <c r="AF53" s="30">
        <f t="shared" si="178"/>
        <v>0.13312451828755606</v>
      </c>
      <c r="AG53" s="39">
        <f t="shared" si="170"/>
        <v>0.13312451828755606</v>
      </c>
      <c r="AH53" s="30">
        <f t="shared" si="178"/>
        <v>0.1495261701233184</v>
      </c>
      <c r="AI53" s="39">
        <f t="shared" si="170"/>
        <v>0.1495261701233184</v>
      </c>
      <c r="AJ53" s="30">
        <f t="shared" si="178"/>
        <v>0.23600710197414515</v>
      </c>
      <c r="AK53" s="39">
        <f t="shared" si="170"/>
        <v>0.23600710197414515</v>
      </c>
      <c r="AL53" s="30">
        <f t="shared" si="178"/>
        <v>0.25968726461778302</v>
      </c>
      <c r="AM53" s="39">
        <f t="shared" si="170"/>
        <v>0.25968726461778302</v>
      </c>
      <c r="AN53" s="30">
        <f t="shared" si="178"/>
        <v>0.36462005478384252</v>
      </c>
      <c r="AO53" s="39">
        <f t="shared" si="170"/>
        <v>0.36462005478384252</v>
      </c>
      <c r="AP53" s="30">
        <f t="shared" si="178"/>
        <v>0.39514257319839541</v>
      </c>
      <c r="AQ53" s="39">
        <f t="shared" si="170"/>
        <v>0.39514257319839541</v>
      </c>
      <c r="AR53" s="30">
        <f t="shared" si="178"/>
        <v>0.51444764415244881</v>
      </c>
      <c r="AS53" s="39">
        <f t="shared" si="170"/>
        <v>0.51444764415244881</v>
      </c>
      <c r="AT53" s="30">
        <f t="shared" si="176"/>
        <v>0.5511485625810153</v>
      </c>
      <c r="AU53" s="39">
        <f t="shared" si="170"/>
        <v>0.5511485625810153</v>
      </c>
      <c r="AV53" s="30">
        <f t="shared" si="176"/>
        <v>0.68158461566463169</v>
      </c>
      <c r="AW53" s="39">
        <f t="shared" si="170"/>
        <v>0.68158461566463169</v>
      </c>
      <c r="AX53" s="30">
        <f t="shared" si="176"/>
        <v>0.72442295775819798</v>
      </c>
      <c r="AY53" s="39">
        <f t="shared" si="170"/>
        <v>0.72442295775819798</v>
      </c>
      <c r="AZ53" s="30">
        <f t="shared" si="176"/>
        <v>0.86361264851061215</v>
      </c>
      <c r="BA53" s="39">
        <f t="shared" si="170"/>
        <v>0.86361264851061215</v>
      </c>
      <c r="BB53" s="30">
        <f t="shared" si="176"/>
        <v>0.91207443021338086</v>
      </c>
      <c r="BC53" s="39">
        <f t="shared" si="170"/>
        <v>0.91207443021338086</v>
      </c>
      <c r="BD53" s="30">
        <f t="shared" si="176"/>
        <v>1.0577311948008601</v>
      </c>
      <c r="BE53" s="39">
        <f t="shared" si="170"/>
        <v>1.0577311948008601</v>
      </c>
      <c r="BF53" s="30">
        <f t="shared" si="176"/>
        <v>1.1111443866261452</v>
      </c>
      <c r="BG53" s="39">
        <f t="shared" si="170"/>
        <v>1.1111443866261452</v>
      </c>
      <c r="BH53" s="30">
        <f t="shared" si="176"/>
        <v>1.2611149415106517</v>
      </c>
      <c r="BI53" s="39">
        <f t="shared" si="170"/>
        <v>1.2611149415106517</v>
      </c>
    </row>
    <row r="54" spans="2:61" x14ac:dyDescent="0.3">
      <c r="B54" s="34"/>
      <c r="C54" s="14">
        <f t="shared" si="174"/>
        <v>1.9999999999999998</v>
      </c>
      <c r="D54" s="35" t="s">
        <v>37</v>
      </c>
      <c r="E54" s="36">
        <f t="shared" si="175"/>
        <v>-1.9999999999999998</v>
      </c>
      <c r="F54" s="28">
        <v>0</v>
      </c>
      <c r="G54" s="38">
        <v>0</v>
      </c>
      <c r="H54" s="5">
        <f t="shared" si="112"/>
        <v>0</v>
      </c>
      <c r="I54" s="38">
        <f t="shared" si="171"/>
        <v>0</v>
      </c>
      <c r="J54" s="28">
        <f t="shared" si="86"/>
        <v>0</v>
      </c>
      <c r="K54" s="38">
        <f t="shared" si="172"/>
        <v>0</v>
      </c>
      <c r="L54" s="30">
        <f t="shared" si="51"/>
        <v>0</v>
      </c>
      <c r="M54" s="39">
        <f t="shared" si="173"/>
        <v>0</v>
      </c>
      <c r="N54" s="30">
        <f t="shared" si="177"/>
        <v>0</v>
      </c>
      <c r="O54" s="39">
        <f t="shared" si="170"/>
        <v>0</v>
      </c>
      <c r="P54" s="30">
        <f t="shared" si="177"/>
        <v>0</v>
      </c>
      <c r="Q54" s="39">
        <f t="shared" si="170"/>
        <v>0</v>
      </c>
      <c r="R54" s="30">
        <f t="shared" si="177"/>
        <v>0</v>
      </c>
      <c r="S54" s="39">
        <f t="shared" si="170"/>
        <v>0</v>
      </c>
      <c r="T54" s="30">
        <f t="shared" si="177"/>
        <v>0</v>
      </c>
      <c r="U54" s="39">
        <f t="shared" si="170"/>
        <v>0</v>
      </c>
      <c r="V54" s="30">
        <f t="shared" si="177"/>
        <v>0</v>
      </c>
      <c r="W54" s="39">
        <f t="shared" si="170"/>
        <v>0</v>
      </c>
      <c r="X54" s="30">
        <f t="shared" si="177"/>
        <v>0</v>
      </c>
      <c r="Y54" s="39">
        <f t="shared" si="170"/>
        <v>0</v>
      </c>
      <c r="Z54" s="30">
        <f t="shared" si="177"/>
        <v>8.0008057735426012E-3</v>
      </c>
      <c r="AA54" s="39">
        <f t="shared" si="170"/>
        <v>8.0008057735426012E-3</v>
      </c>
      <c r="AB54" s="30">
        <f t="shared" si="177"/>
        <v>9.7787626121076231E-3</v>
      </c>
      <c r="AC54" s="39">
        <f t="shared" si="170"/>
        <v>9.7787626121076231E-3</v>
      </c>
      <c r="AD54" s="30">
        <f t="shared" si="178"/>
        <v>3.1736529568385657E-2</v>
      </c>
      <c r="AE54" s="39">
        <f t="shared" si="170"/>
        <v>3.1736529568385657E-2</v>
      </c>
      <c r="AF54" s="30">
        <f t="shared" si="178"/>
        <v>3.6803706558295957E-2</v>
      </c>
      <c r="AG54" s="39">
        <f t="shared" si="170"/>
        <v>3.6803706558295957E-2</v>
      </c>
      <c r="AH54" s="30">
        <f t="shared" si="178"/>
        <v>7.4996441896720861E-2</v>
      </c>
      <c r="AI54" s="39">
        <f t="shared" si="170"/>
        <v>7.4996441896720861E-2</v>
      </c>
      <c r="AJ54" s="30">
        <f t="shared" si="178"/>
        <v>8.4575184364489908E-2</v>
      </c>
      <c r="AK54" s="39">
        <f t="shared" si="170"/>
        <v>8.4575184364489908E-2</v>
      </c>
      <c r="AL54" s="30">
        <f t="shared" si="178"/>
        <v>0.1389862197397001</v>
      </c>
      <c r="AM54" s="39">
        <f t="shared" si="170"/>
        <v>0.1389862197397001</v>
      </c>
      <c r="AN54" s="30">
        <f t="shared" si="178"/>
        <v>0.15359324639153585</v>
      </c>
      <c r="AO54" s="39">
        <f t="shared" si="170"/>
        <v>0.15359324639153585</v>
      </c>
      <c r="AP54" s="30">
        <f t="shared" si="178"/>
        <v>0.22289189223216788</v>
      </c>
      <c r="AQ54" s="39">
        <f t="shared" si="170"/>
        <v>0.22289189223216788</v>
      </c>
      <c r="AR54" s="30">
        <f t="shared" si="178"/>
        <v>0.24259665450707676</v>
      </c>
      <c r="AS54" s="39">
        <f t="shared" si="170"/>
        <v>0.24259665450707676</v>
      </c>
      <c r="AT54" s="30">
        <f t="shared" si="176"/>
        <v>0.32470631278683781</v>
      </c>
      <c r="AU54" s="39">
        <f t="shared" si="170"/>
        <v>0.32470631278683781</v>
      </c>
      <c r="AV54" s="30">
        <f t="shared" si="176"/>
        <v>0.34931851374194228</v>
      </c>
      <c r="AW54" s="39">
        <f t="shared" si="170"/>
        <v>0.34931851374194228</v>
      </c>
      <c r="AX54" s="30">
        <f t="shared" si="176"/>
        <v>0.44222366029371585</v>
      </c>
      <c r="AY54" s="39">
        <f t="shared" si="170"/>
        <v>0.44222366029371585</v>
      </c>
      <c r="AZ54" s="30">
        <f t="shared" si="176"/>
        <v>0.47175849243129853</v>
      </c>
      <c r="BA54" s="39">
        <f t="shared" si="170"/>
        <v>0.47175849243129853</v>
      </c>
      <c r="BB54" s="30">
        <f t="shared" si="176"/>
        <v>0.57375155510923781</v>
      </c>
      <c r="BC54" s="39">
        <f t="shared" si="170"/>
        <v>0.57375155510923781</v>
      </c>
      <c r="BD54" s="30">
        <f t="shared" si="176"/>
        <v>0.60800272595187477</v>
      </c>
      <c r="BE54" s="39">
        <f t="shared" si="170"/>
        <v>0.60800272595187477</v>
      </c>
      <c r="BF54" s="30">
        <f t="shared" si="176"/>
        <v>0.71742016645023099</v>
      </c>
      <c r="BG54" s="39">
        <f t="shared" si="170"/>
        <v>0.71742016645023099</v>
      </c>
      <c r="BH54" s="30">
        <f t="shared" si="176"/>
        <v>0.75603985993584177</v>
      </c>
      <c r="BI54" s="39">
        <f t="shared" si="170"/>
        <v>0.75603985993584177</v>
      </c>
    </row>
    <row r="55" spans="2:61" x14ac:dyDescent="0.3">
      <c r="B55" s="34"/>
      <c r="C55" s="14">
        <f t="shared" si="174"/>
        <v>2.1999999999999997</v>
      </c>
      <c r="D55" s="35" t="s">
        <v>37</v>
      </c>
      <c r="E55" s="36">
        <f t="shared" si="175"/>
        <v>-2.1999999999999997</v>
      </c>
      <c r="F55" s="28">
        <v>0</v>
      </c>
      <c r="G55" s="38">
        <v>0</v>
      </c>
      <c r="H55" s="5">
        <f t="shared" si="112"/>
        <v>0</v>
      </c>
      <c r="I55" s="38">
        <f t="shared" si="171"/>
        <v>0</v>
      </c>
      <c r="J55" s="28">
        <f t="shared" si="86"/>
        <v>0</v>
      </c>
      <c r="K55" s="38">
        <f t="shared" si="172"/>
        <v>0</v>
      </c>
      <c r="L55" s="30">
        <f t="shared" si="51"/>
        <v>0</v>
      </c>
      <c r="M55" s="39">
        <f t="shared" si="173"/>
        <v>0</v>
      </c>
      <c r="N55" s="30">
        <f t="shared" si="177"/>
        <v>0</v>
      </c>
      <c r="O55" s="39">
        <f t="shared" si="170"/>
        <v>0</v>
      </c>
      <c r="P55" s="30">
        <f t="shared" si="177"/>
        <v>0</v>
      </c>
      <c r="Q55" s="39">
        <f t="shared" si="170"/>
        <v>0</v>
      </c>
      <c r="R55" s="30">
        <f t="shared" si="177"/>
        <v>0</v>
      </c>
      <c r="S55" s="39">
        <f t="shared" si="170"/>
        <v>0</v>
      </c>
      <c r="T55" s="30">
        <f t="shared" si="177"/>
        <v>0</v>
      </c>
      <c r="U55" s="39">
        <f t="shared" si="170"/>
        <v>0</v>
      </c>
      <c r="V55" s="30">
        <f t="shared" si="177"/>
        <v>0</v>
      </c>
      <c r="W55" s="39">
        <f t="shared" si="170"/>
        <v>0</v>
      </c>
      <c r="X55" s="30">
        <f t="shared" si="177"/>
        <v>0</v>
      </c>
      <c r="Y55" s="39">
        <f t="shared" si="170"/>
        <v>0</v>
      </c>
      <c r="Z55" s="30">
        <f t="shared" si="177"/>
        <v>0</v>
      </c>
      <c r="AA55" s="39">
        <f t="shared" si="170"/>
        <v>0</v>
      </c>
      <c r="AB55" s="30">
        <f t="shared" si="177"/>
        <v>4.0004028867713006E-3</v>
      </c>
      <c r="AC55" s="39">
        <f t="shared" si="170"/>
        <v>4.0004028867713006E-3</v>
      </c>
      <c r="AD55" s="30">
        <f t="shared" si="178"/>
        <v>4.8893813060538116E-3</v>
      </c>
      <c r="AE55" s="39">
        <f t="shared" si="170"/>
        <v>4.8893813060538116E-3</v>
      </c>
      <c r="AF55" s="30">
        <f t="shared" si="178"/>
        <v>1.6868365505885653E-2</v>
      </c>
      <c r="AG55" s="39">
        <f t="shared" si="170"/>
        <v>1.6868365505885653E-2</v>
      </c>
      <c r="AH55" s="30">
        <f t="shared" si="178"/>
        <v>1.962419860566143E-2</v>
      </c>
      <c r="AI55" s="39">
        <f t="shared" si="170"/>
        <v>1.962419860566143E-2</v>
      </c>
      <c r="AJ55" s="30">
        <f t="shared" si="178"/>
        <v>4.1965337505255051E-2</v>
      </c>
      <c r="AK55" s="39">
        <f t="shared" si="170"/>
        <v>4.1965337505255051E-2</v>
      </c>
      <c r="AL55" s="30">
        <f t="shared" si="178"/>
        <v>4.7499228165288676E-2</v>
      </c>
      <c r="AM55" s="39">
        <f t="shared" si="170"/>
        <v>4.7499228165288676E-2</v>
      </c>
      <c r="AN55" s="30">
        <f t="shared" si="178"/>
        <v>8.1163729680493263E-2</v>
      </c>
      <c r="AO55" s="39">
        <f t="shared" si="170"/>
        <v>8.1163729680493263E-2</v>
      </c>
      <c r="AP55" s="30">
        <f t="shared" si="178"/>
        <v>9.0050735815758121E-2</v>
      </c>
      <c r="AQ55" s="39">
        <f t="shared" si="170"/>
        <v>9.0050735815758121E-2</v>
      </c>
      <c r="AR55" s="30">
        <f t="shared" si="178"/>
        <v>0.13496498142122687</v>
      </c>
      <c r="AS55" s="39">
        <f t="shared" si="170"/>
        <v>0.13496498142122687</v>
      </c>
      <c r="AT55" s="30">
        <f t="shared" si="176"/>
        <v>0.14748846490286924</v>
      </c>
      <c r="AU55" s="39">
        <f t="shared" si="170"/>
        <v>0.14748846490286924</v>
      </c>
      <c r="AV55" s="30">
        <f t="shared" si="176"/>
        <v>0.20286270492280006</v>
      </c>
      <c r="AW55" s="39">
        <f t="shared" si="170"/>
        <v>0.20286270492280006</v>
      </c>
      <c r="AX55" s="30">
        <f t="shared" si="176"/>
        <v>0.21909402710439912</v>
      </c>
      <c r="AY55" s="39">
        <f t="shared" si="170"/>
        <v>0.21909402710439912</v>
      </c>
      <c r="AZ55" s="30">
        <f t="shared" si="176"/>
        <v>0.28389046170786347</v>
      </c>
      <c r="BA55" s="39">
        <f t="shared" si="170"/>
        <v>0.28389046170786347</v>
      </c>
      <c r="BB55" s="30">
        <f t="shared" si="176"/>
        <v>0.30393102169036867</v>
      </c>
      <c r="BC55" s="39">
        <f t="shared" si="170"/>
        <v>0.30393102169036867</v>
      </c>
      <c r="BD55" s="30">
        <f t="shared" si="176"/>
        <v>0.37710913809960189</v>
      </c>
      <c r="BE55" s="39">
        <f t="shared" si="170"/>
        <v>0.37710913809960189</v>
      </c>
      <c r="BF55" s="30">
        <f t="shared" si="176"/>
        <v>0.40093533324553832</v>
      </c>
      <c r="BG55" s="39">
        <f t="shared" si="170"/>
        <v>0.40093533324553832</v>
      </c>
      <c r="BH55" s="30">
        <f t="shared" si="176"/>
        <v>0.48140807401038066</v>
      </c>
      <c r="BI55" s="39">
        <f t="shared" si="170"/>
        <v>0.48140807401038066</v>
      </c>
    </row>
    <row r="56" spans="2:61" x14ac:dyDescent="0.3">
      <c r="B56" s="34"/>
      <c r="C56" s="14">
        <f t="shared" si="174"/>
        <v>2.4</v>
      </c>
      <c r="D56" s="35" t="s">
        <v>37</v>
      </c>
      <c r="E56" s="36">
        <f t="shared" si="175"/>
        <v>-2.4</v>
      </c>
      <c r="F56" s="28">
        <v>0</v>
      </c>
      <c r="G56" s="38">
        <v>0</v>
      </c>
      <c r="H56" s="5">
        <f t="shared" si="112"/>
        <v>0</v>
      </c>
      <c r="I56" s="38">
        <f t="shared" si="171"/>
        <v>0</v>
      </c>
      <c r="J56" s="28">
        <f t="shared" si="86"/>
        <v>0</v>
      </c>
      <c r="K56" s="38">
        <f t="shared" si="172"/>
        <v>0</v>
      </c>
      <c r="L56" s="30">
        <f t="shared" si="51"/>
        <v>0</v>
      </c>
      <c r="M56" s="39">
        <f t="shared" si="173"/>
        <v>0</v>
      </c>
      <c r="N56" s="30">
        <f t="shared" si="177"/>
        <v>0</v>
      </c>
      <c r="O56" s="39">
        <f t="shared" si="170"/>
        <v>0</v>
      </c>
      <c r="P56" s="30">
        <f t="shared" si="177"/>
        <v>0</v>
      </c>
      <c r="Q56" s="39">
        <f t="shared" si="170"/>
        <v>0</v>
      </c>
      <c r="R56" s="30">
        <f t="shared" si="177"/>
        <v>0</v>
      </c>
      <c r="S56" s="39">
        <f t="shared" si="170"/>
        <v>0</v>
      </c>
      <c r="T56" s="30">
        <f t="shared" si="177"/>
        <v>0</v>
      </c>
      <c r="U56" s="39">
        <f t="shared" si="170"/>
        <v>0</v>
      </c>
      <c r="V56" s="30">
        <f t="shared" si="177"/>
        <v>0</v>
      </c>
      <c r="W56" s="39">
        <f t="shared" si="170"/>
        <v>0</v>
      </c>
      <c r="X56" s="30">
        <f t="shared" si="177"/>
        <v>0</v>
      </c>
      <c r="Y56" s="39">
        <f t="shared" si="170"/>
        <v>0</v>
      </c>
      <c r="Z56" s="30">
        <f t="shared" si="177"/>
        <v>0</v>
      </c>
      <c r="AA56" s="39">
        <f t="shared" si="170"/>
        <v>0</v>
      </c>
      <c r="AB56" s="30">
        <f t="shared" si="177"/>
        <v>0</v>
      </c>
      <c r="AC56" s="39">
        <f t="shared" si="170"/>
        <v>0</v>
      </c>
      <c r="AD56" s="30">
        <f t="shared" si="178"/>
        <v>2.0002014433856503E-3</v>
      </c>
      <c r="AE56" s="39">
        <f t="shared" si="170"/>
        <v>2.0002014433856503E-3</v>
      </c>
      <c r="AF56" s="30">
        <f t="shared" si="178"/>
        <v>2.4446906530269058E-3</v>
      </c>
      <c r="AG56" s="39">
        <f t="shared" si="170"/>
        <v>2.4446906530269058E-3</v>
      </c>
      <c r="AH56" s="30">
        <f t="shared" si="178"/>
        <v>8.9342331137892382E-3</v>
      </c>
      <c r="AI56" s="39">
        <f t="shared" si="170"/>
        <v>8.9342331137892382E-3</v>
      </c>
      <c r="AJ56" s="30">
        <f t="shared" si="178"/>
        <v>1.0423271966087441E-2</v>
      </c>
      <c r="AK56" s="39">
        <f t="shared" si="170"/>
        <v>1.0423271966087441E-2</v>
      </c>
      <c r="AL56" s="30">
        <f t="shared" si="178"/>
        <v>2.3341239621286439E-2</v>
      </c>
      <c r="AM56" s="39">
        <f t="shared" si="170"/>
        <v>2.3341239621286439E-2</v>
      </c>
      <c r="AN56" s="30">
        <f t="shared" si="178"/>
        <v>2.6508225239980379E-2</v>
      </c>
      <c r="AO56" s="39">
        <f t="shared" si="170"/>
        <v>2.6508225239980379E-2</v>
      </c>
      <c r="AP56" s="30">
        <f t="shared" si="178"/>
        <v>4.7038070610285872E-2</v>
      </c>
      <c r="AQ56" s="39">
        <f t="shared" si="170"/>
        <v>4.7038070610285872E-2</v>
      </c>
      <c r="AR56" s="30">
        <f t="shared" si="178"/>
        <v>5.238027529866171E-2</v>
      </c>
      <c r="AS56" s="39">
        <f t="shared" si="170"/>
        <v>5.238027529866171E-2</v>
      </c>
      <c r="AT56" s="30">
        <f t="shared" si="176"/>
        <v>8.101909705876234E-2</v>
      </c>
      <c r="AU56" s="39">
        <f t="shared" si="170"/>
        <v>8.101909705876234E-2</v>
      </c>
      <c r="AV56" s="30">
        <f t="shared" si="176"/>
        <v>8.8869540466855981E-2</v>
      </c>
      <c r="AW56" s="39">
        <f t="shared" si="170"/>
        <v>8.8869540466855981E-2</v>
      </c>
      <c r="AX56" s="30">
        <f t="shared" si="176"/>
        <v>0.12555726312201115</v>
      </c>
      <c r="AY56" s="39">
        <f t="shared" si="170"/>
        <v>0.12555726312201115</v>
      </c>
      <c r="AZ56" s="30">
        <f t="shared" si="176"/>
        <v>0.1361035509494388</v>
      </c>
      <c r="BA56" s="39">
        <f t="shared" si="170"/>
        <v>0.1361035509494388</v>
      </c>
      <c r="BB56" s="30">
        <f t="shared" si="176"/>
        <v>0.18046672108996603</v>
      </c>
      <c r="BC56" s="39">
        <f t="shared" si="170"/>
        <v>0.18046672108996603</v>
      </c>
      <c r="BD56" s="30">
        <f t="shared" si="176"/>
        <v>0.19386794053920181</v>
      </c>
      <c r="BE56" s="39">
        <f t="shared" si="170"/>
        <v>0.19386794053920181</v>
      </c>
      <c r="BF56" s="30">
        <f t="shared" si="176"/>
        <v>0.2453959815705303</v>
      </c>
      <c r="BG56" s="39">
        <f t="shared" si="170"/>
        <v>0.2453959815705303</v>
      </c>
      <c r="BH56" s="30">
        <f t="shared" si="176"/>
        <v>0.26173034147296786</v>
      </c>
      <c r="BI56" s="39">
        <f t="shared" si="170"/>
        <v>0.26173034147296786</v>
      </c>
    </row>
    <row r="57" spans="2:61" x14ac:dyDescent="0.3">
      <c r="B57" s="34"/>
      <c r="C57" s="14">
        <f t="shared" si="174"/>
        <v>2.6</v>
      </c>
      <c r="D57" s="35" t="s">
        <v>37</v>
      </c>
      <c r="E57" s="36">
        <f t="shared" si="175"/>
        <v>-2.6</v>
      </c>
      <c r="F57" s="28">
        <v>0</v>
      </c>
      <c r="G57" s="38">
        <v>0</v>
      </c>
      <c r="H57" s="5">
        <f t="shared" si="112"/>
        <v>0</v>
      </c>
      <c r="I57" s="38">
        <f t="shared" si="171"/>
        <v>0</v>
      </c>
      <c r="J57" s="28">
        <f t="shared" si="86"/>
        <v>0</v>
      </c>
      <c r="K57" s="38">
        <f t="shared" si="172"/>
        <v>0</v>
      </c>
      <c r="L57" s="30">
        <f t="shared" si="51"/>
        <v>0</v>
      </c>
      <c r="M57" s="39">
        <f t="shared" si="173"/>
        <v>0</v>
      </c>
      <c r="N57" s="30">
        <f t="shared" si="177"/>
        <v>0</v>
      </c>
      <c r="O57" s="39">
        <f t="shared" si="170"/>
        <v>0</v>
      </c>
      <c r="P57" s="30">
        <f t="shared" si="177"/>
        <v>0</v>
      </c>
      <c r="Q57" s="39">
        <f t="shared" si="170"/>
        <v>0</v>
      </c>
      <c r="R57" s="30">
        <f t="shared" si="177"/>
        <v>0</v>
      </c>
      <c r="S57" s="39">
        <f t="shared" si="170"/>
        <v>0</v>
      </c>
      <c r="T57" s="30">
        <f t="shared" si="177"/>
        <v>0</v>
      </c>
      <c r="U57" s="39">
        <f t="shared" si="170"/>
        <v>0</v>
      </c>
      <c r="V57" s="30">
        <f t="shared" si="177"/>
        <v>0</v>
      </c>
      <c r="W57" s="39">
        <f t="shared" si="170"/>
        <v>0</v>
      </c>
      <c r="X57" s="30">
        <f t="shared" si="177"/>
        <v>0</v>
      </c>
      <c r="Y57" s="39">
        <f t="shared" si="170"/>
        <v>0</v>
      </c>
      <c r="Z57" s="30">
        <f t="shared" si="177"/>
        <v>0</v>
      </c>
      <c r="AA57" s="39">
        <f t="shared" si="170"/>
        <v>0</v>
      </c>
      <c r="AB57" s="30">
        <f t="shared" si="177"/>
        <v>0</v>
      </c>
      <c r="AC57" s="39">
        <f t="shared" si="170"/>
        <v>0</v>
      </c>
      <c r="AD57" s="30">
        <f t="shared" si="178"/>
        <v>0</v>
      </c>
      <c r="AE57" s="39">
        <f t="shared" si="170"/>
        <v>0</v>
      </c>
      <c r="AF57" s="30">
        <f t="shared" si="178"/>
        <v>1.0001007216928252E-3</v>
      </c>
      <c r="AG57" s="39">
        <f t="shared" si="170"/>
        <v>1.0001007216928252E-3</v>
      </c>
      <c r="AH57" s="30">
        <f t="shared" si="178"/>
        <v>1.2223453265134529E-3</v>
      </c>
      <c r="AI57" s="39">
        <f t="shared" si="170"/>
        <v>1.2223453265134529E-3</v>
      </c>
      <c r="AJ57" s="30">
        <f t="shared" si="178"/>
        <v>4.7171417373178251E-3</v>
      </c>
      <c r="AK57" s="39">
        <f t="shared" si="170"/>
        <v>4.7171417373178251E-3</v>
      </c>
      <c r="AL57" s="30">
        <f t="shared" si="178"/>
        <v>5.5172223146720831E-3</v>
      </c>
      <c r="AM57" s="39">
        <f t="shared" si="170"/>
        <v>5.5172223146720831E-3</v>
      </c>
      <c r="AN57" s="30">
        <f t="shared" si="178"/>
        <v>1.2912411540078477E-2</v>
      </c>
      <c r="AO57" s="39">
        <f t="shared" si="170"/>
        <v>1.2912411540078477E-2</v>
      </c>
      <c r="AP57" s="30">
        <f t="shared" si="178"/>
        <v>1.47098147815653E-2</v>
      </c>
      <c r="AQ57" s="39">
        <f t="shared" si="170"/>
        <v>1.47098147815653E-2</v>
      </c>
      <c r="AR57" s="30">
        <f t="shared" si="178"/>
        <v>2.7073212696297821E-2</v>
      </c>
      <c r="AS57" s="39">
        <f t="shared" si="170"/>
        <v>2.7073212696297821E-2</v>
      </c>
      <c r="AT57" s="30">
        <f t="shared" si="176"/>
        <v>3.0250616030842732E-2</v>
      </c>
      <c r="AU57" s="39">
        <f t="shared" si="170"/>
        <v>3.0250616030842732E-2</v>
      </c>
      <c r="AV57" s="30">
        <f t="shared" si="176"/>
        <v>4.8251821321222271E-2</v>
      </c>
      <c r="AW57" s="39">
        <f t="shared" si="170"/>
        <v>4.8251821321222271E-2</v>
      </c>
      <c r="AX57" s="30">
        <f t="shared" si="176"/>
        <v>5.3113074794478472E-2</v>
      </c>
      <c r="AY57" s="39">
        <f t="shared" si="170"/>
        <v>5.3113074794478472E-2</v>
      </c>
      <c r="AZ57" s="30">
        <f t="shared" si="176"/>
        <v>7.704298047206859E-2</v>
      </c>
      <c r="BA57" s="39">
        <f t="shared" si="170"/>
        <v>7.704298047206859E-2</v>
      </c>
      <c r="BB57" s="30">
        <f t="shared" si="176"/>
        <v>8.3804859388034975E-2</v>
      </c>
      <c r="BC57" s="39">
        <f t="shared" si="170"/>
        <v>8.3804859388034975E-2</v>
      </c>
      <c r="BD57" s="30">
        <f t="shared" si="176"/>
        <v>0.11368282504145871</v>
      </c>
      <c r="BE57" s="39">
        <f t="shared" si="170"/>
        <v>0.11368282504145871</v>
      </c>
      <c r="BF57" s="30">
        <f t="shared" si="176"/>
        <v>0.12252534970039744</v>
      </c>
      <c r="BG57" s="39">
        <f t="shared" si="170"/>
        <v>0.12252534970039744</v>
      </c>
      <c r="BH57" s="30">
        <f t="shared" si="176"/>
        <v>0.15820348988466729</v>
      </c>
      <c r="BI57" s="39">
        <f t="shared" si="170"/>
        <v>0.15820348988466729</v>
      </c>
    </row>
    <row r="58" spans="2:61" x14ac:dyDescent="0.3">
      <c r="B58" s="34"/>
      <c r="C58" s="14">
        <f t="shared" si="174"/>
        <v>2.8000000000000003</v>
      </c>
      <c r="D58" s="35" t="s">
        <v>37</v>
      </c>
      <c r="E58" s="36">
        <f t="shared" si="175"/>
        <v>-2.8000000000000003</v>
      </c>
      <c r="F58" s="28">
        <v>0</v>
      </c>
      <c r="G58" s="38">
        <v>0</v>
      </c>
      <c r="H58" s="5">
        <f t="shared" si="112"/>
        <v>0</v>
      </c>
      <c r="I58" s="38">
        <f t="shared" si="171"/>
        <v>0</v>
      </c>
      <c r="J58" s="28">
        <f t="shared" si="86"/>
        <v>0</v>
      </c>
      <c r="K58" s="38">
        <f t="shared" si="172"/>
        <v>0</v>
      </c>
      <c r="L58" s="30">
        <f t="shared" si="51"/>
        <v>0</v>
      </c>
      <c r="M58" s="39">
        <f t="shared" si="173"/>
        <v>0</v>
      </c>
      <c r="N58" s="30">
        <f t="shared" si="177"/>
        <v>0</v>
      </c>
      <c r="O58" s="39">
        <f t="shared" si="170"/>
        <v>0</v>
      </c>
      <c r="P58" s="30">
        <f t="shared" si="177"/>
        <v>0</v>
      </c>
      <c r="Q58" s="39">
        <f t="shared" si="170"/>
        <v>0</v>
      </c>
      <c r="R58" s="30">
        <f t="shared" si="177"/>
        <v>0</v>
      </c>
      <c r="S58" s="39">
        <f t="shared" si="170"/>
        <v>0</v>
      </c>
      <c r="T58" s="30">
        <f t="shared" si="177"/>
        <v>0</v>
      </c>
      <c r="U58" s="39">
        <f t="shared" si="170"/>
        <v>0</v>
      </c>
      <c r="V58" s="30">
        <f t="shared" si="177"/>
        <v>0</v>
      </c>
      <c r="W58" s="39">
        <f t="shared" si="170"/>
        <v>0</v>
      </c>
      <c r="X58" s="30">
        <f t="shared" si="177"/>
        <v>0</v>
      </c>
      <c r="Y58" s="39">
        <f t="shared" si="170"/>
        <v>0</v>
      </c>
      <c r="Z58" s="30">
        <f t="shared" si="177"/>
        <v>0</v>
      </c>
      <c r="AA58" s="39">
        <f t="shared" si="170"/>
        <v>0</v>
      </c>
      <c r="AB58" s="30">
        <f t="shared" si="177"/>
        <v>0</v>
      </c>
      <c r="AC58" s="39">
        <f t="shared" si="170"/>
        <v>0</v>
      </c>
      <c r="AD58" s="30">
        <f t="shared" si="178"/>
        <v>0</v>
      </c>
      <c r="AE58" s="39">
        <f t="shared" si="170"/>
        <v>0</v>
      </c>
      <c r="AF58" s="30">
        <f t="shared" si="178"/>
        <v>0</v>
      </c>
      <c r="AG58" s="39">
        <f t="shared" si="170"/>
        <v>0</v>
      </c>
      <c r="AH58" s="30">
        <f t="shared" si="178"/>
        <v>5.0005036084641258E-4</v>
      </c>
      <c r="AI58" s="39">
        <f t="shared" si="170"/>
        <v>5.0005036084641258E-4</v>
      </c>
      <c r="AJ58" s="30">
        <f t="shared" si="178"/>
        <v>6.1117266325672645E-4</v>
      </c>
      <c r="AK58" s="39">
        <f t="shared" si="170"/>
        <v>6.1117266325672645E-4</v>
      </c>
      <c r="AL58" s="30">
        <f t="shared" si="178"/>
        <v>2.4835834588705155E-3</v>
      </c>
      <c r="AM58" s="39">
        <f t="shared" ref="AM58:BA73" si="179">AL58</f>
        <v>2.4835834588705155E-3</v>
      </c>
      <c r="AN58" s="30">
        <f t="shared" si="178"/>
        <v>2.911404323150223E-3</v>
      </c>
      <c r="AO58" s="39">
        <f t="shared" si="179"/>
        <v>2.911404323150223E-3</v>
      </c>
      <c r="AP58" s="30">
        <f t="shared" si="178"/>
        <v>7.1083547823097681E-3</v>
      </c>
      <c r="AQ58" s="39">
        <f t="shared" si="179"/>
        <v>7.1083547823097681E-3</v>
      </c>
      <c r="AR58" s="30">
        <f t="shared" si="178"/>
        <v>8.1209567630237504E-3</v>
      </c>
      <c r="AS58" s="39">
        <f t="shared" si="179"/>
        <v>8.1209567630237504E-3</v>
      </c>
      <c r="AT58" s="30">
        <f t="shared" si="176"/>
        <v>1.5484545583682209E-2</v>
      </c>
      <c r="AU58" s="39">
        <f t="shared" si="179"/>
        <v>1.5484545583682209E-2</v>
      </c>
      <c r="AV58" s="30">
        <f t="shared" si="176"/>
        <v>1.7356609122100967E-2</v>
      </c>
      <c r="AW58" s="39">
        <f t="shared" si="179"/>
        <v>1.7356609122100967E-2</v>
      </c>
      <c r="AX58" s="30">
        <f t="shared" si="176"/>
        <v>2.8528697822126033E-2</v>
      </c>
      <c r="AY58" s="39">
        <f t="shared" si="179"/>
        <v>2.8528697822126033E-2</v>
      </c>
      <c r="AZ58" s="30">
        <f t="shared" si="176"/>
        <v>3.150616782663114E-2</v>
      </c>
      <c r="BA58" s="39">
        <f t="shared" si="179"/>
        <v>3.150616782663114E-2</v>
      </c>
      <c r="BB58" s="30">
        <f t="shared" si="176"/>
        <v>4.689892899295138E-2</v>
      </c>
      <c r="BC58" s="39">
        <f t="shared" ref="BC58:BI73" si="180">BB58</f>
        <v>4.689892899295138E-2</v>
      </c>
      <c r="BD58" s="30">
        <f t="shared" si="176"/>
        <v>5.118275886159307E-2</v>
      </c>
      <c r="BE58" s="39">
        <f t="shared" si="180"/>
        <v>5.118275886159307E-2</v>
      </c>
      <c r="BF58" s="30">
        <f t="shared" si="176"/>
        <v>7.101099819880427E-2</v>
      </c>
      <c r="BG58" s="39">
        <f t="shared" si="180"/>
        <v>7.101099819880427E-2</v>
      </c>
      <c r="BH58" s="30">
        <f t="shared" si="176"/>
        <v>7.677457778977706E-2</v>
      </c>
      <c r="BI58" s="39">
        <f t="shared" si="180"/>
        <v>7.677457778977706E-2</v>
      </c>
    </row>
    <row r="59" spans="2:61" x14ac:dyDescent="0.3">
      <c r="B59" s="34"/>
      <c r="C59" s="14">
        <f t="shared" si="174"/>
        <v>3.0000000000000004</v>
      </c>
      <c r="D59" s="35" t="s">
        <v>37</v>
      </c>
      <c r="E59" s="36">
        <f t="shared" si="175"/>
        <v>-3.0000000000000004</v>
      </c>
      <c r="F59" s="28">
        <v>0</v>
      </c>
      <c r="G59" s="38">
        <v>0</v>
      </c>
      <c r="H59" s="5">
        <f t="shared" si="112"/>
        <v>0</v>
      </c>
      <c r="I59" s="38">
        <f t="shared" si="171"/>
        <v>0</v>
      </c>
      <c r="J59" s="28">
        <f t="shared" si="86"/>
        <v>0</v>
      </c>
      <c r="K59" s="38">
        <f t="shared" si="172"/>
        <v>0</v>
      </c>
      <c r="L59" s="30">
        <f t="shared" si="51"/>
        <v>0</v>
      </c>
      <c r="M59" s="39">
        <f t="shared" si="173"/>
        <v>0</v>
      </c>
      <c r="N59" s="30">
        <f t="shared" si="177"/>
        <v>0</v>
      </c>
      <c r="O59" s="39">
        <f t="shared" ref="O59:AC74" si="181">N59</f>
        <v>0</v>
      </c>
      <c r="P59" s="30">
        <f t="shared" si="177"/>
        <v>0</v>
      </c>
      <c r="Q59" s="39">
        <f t="shared" si="181"/>
        <v>0</v>
      </c>
      <c r="R59" s="30">
        <f t="shared" si="177"/>
        <v>0</v>
      </c>
      <c r="S59" s="39">
        <f t="shared" si="181"/>
        <v>0</v>
      </c>
      <c r="T59" s="30">
        <f t="shared" si="177"/>
        <v>0</v>
      </c>
      <c r="U59" s="39">
        <f t="shared" si="181"/>
        <v>0</v>
      </c>
      <c r="V59" s="30">
        <f t="shared" si="177"/>
        <v>0</v>
      </c>
      <c r="W59" s="39">
        <f t="shared" si="181"/>
        <v>0</v>
      </c>
      <c r="X59" s="30">
        <f t="shared" si="177"/>
        <v>0</v>
      </c>
      <c r="Y59" s="39">
        <f t="shared" si="181"/>
        <v>0</v>
      </c>
      <c r="Z59" s="30">
        <f t="shared" si="177"/>
        <v>0</v>
      </c>
      <c r="AA59" s="39">
        <f t="shared" si="181"/>
        <v>0</v>
      </c>
      <c r="AB59" s="30">
        <f t="shared" si="177"/>
        <v>0</v>
      </c>
      <c r="AC59" s="39">
        <f t="shared" si="181"/>
        <v>0</v>
      </c>
      <c r="AD59" s="30">
        <f t="shared" si="178"/>
        <v>0</v>
      </c>
      <c r="AE59" s="39">
        <f t="shared" ref="AE59:AS74" si="182">AD59</f>
        <v>0</v>
      </c>
      <c r="AF59" s="30">
        <f t="shared" si="178"/>
        <v>0</v>
      </c>
      <c r="AG59" s="39">
        <f t="shared" si="182"/>
        <v>0</v>
      </c>
      <c r="AH59" s="30">
        <f t="shared" si="178"/>
        <v>0</v>
      </c>
      <c r="AI59" s="39">
        <f t="shared" si="182"/>
        <v>0</v>
      </c>
      <c r="AJ59" s="30">
        <f t="shared" si="178"/>
        <v>2.5002518042320629E-4</v>
      </c>
      <c r="AK59" s="39">
        <f t="shared" si="182"/>
        <v>2.5002518042320629E-4</v>
      </c>
      <c r="AL59" s="30">
        <f t="shared" si="178"/>
        <v>3.0558633162836322E-4</v>
      </c>
      <c r="AM59" s="39">
        <f t="shared" si="182"/>
        <v>3.0558633162836322E-4</v>
      </c>
      <c r="AN59" s="30">
        <f t="shared" si="178"/>
        <v>1.3042980245410592E-3</v>
      </c>
      <c r="AO59" s="39">
        <f t="shared" si="182"/>
        <v>1.3042980245410592E-3</v>
      </c>
      <c r="AP59" s="30">
        <f t="shared" si="178"/>
        <v>1.5320987444822022E-3</v>
      </c>
      <c r="AQ59" s="39">
        <f t="shared" si="182"/>
        <v>1.5320987444822022E-3</v>
      </c>
      <c r="AR59" s="30">
        <f t="shared" si="178"/>
        <v>3.8958784710665991E-3</v>
      </c>
      <c r="AS59" s="39">
        <f t="shared" si="182"/>
        <v>3.8958784710665991E-3</v>
      </c>
      <c r="AT59" s="30">
        <f t="shared" si="176"/>
        <v>4.4626022133591988E-3</v>
      </c>
      <c r="AU59" s="39">
        <f t="shared" si="179"/>
        <v>4.4626022133591988E-3</v>
      </c>
      <c r="AV59" s="30">
        <f t="shared" si="176"/>
        <v>8.8055743230297957E-3</v>
      </c>
      <c r="AW59" s="39">
        <f t="shared" si="179"/>
        <v>8.8055743230297957E-3</v>
      </c>
      <c r="AX59" s="30">
        <f t="shared" si="176"/>
        <v>9.899260858783808E-3</v>
      </c>
      <c r="AY59" s="39">
        <f t="shared" si="179"/>
        <v>9.899260858783808E-3</v>
      </c>
      <c r="AZ59" s="30">
        <f t="shared" si="176"/>
        <v>1.6754877513834178E-2</v>
      </c>
      <c r="BA59" s="39">
        <f t="shared" si="179"/>
        <v>1.6754877513834178E-2</v>
      </c>
      <c r="BB59" s="30">
        <f t="shared" si="176"/>
        <v>1.8560658335151158E-2</v>
      </c>
      <c r="BC59" s="39">
        <f t="shared" si="180"/>
        <v>1.8560658335151158E-2</v>
      </c>
      <c r="BD59" s="30">
        <f t="shared" si="176"/>
        <v>2.8339171356149842E-2</v>
      </c>
      <c r="BE59" s="39">
        <f t="shared" si="180"/>
        <v>2.8339171356149842E-2</v>
      </c>
      <c r="BF59" s="30">
        <f t="shared" si="176"/>
        <v>3.1023805879156686E-2</v>
      </c>
      <c r="BG59" s="39">
        <f t="shared" si="180"/>
        <v>3.1023805879156686E-2</v>
      </c>
      <c r="BH59" s="30">
        <f t="shared" si="176"/>
        <v>4.4009133291351407E-2</v>
      </c>
      <c r="BI59" s="39">
        <f t="shared" si="180"/>
        <v>4.4009133291351407E-2</v>
      </c>
    </row>
    <row r="60" spans="2:61" x14ac:dyDescent="0.3">
      <c r="B60" s="34"/>
      <c r="C60" s="14">
        <f t="shared" si="174"/>
        <v>3.2000000000000006</v>
      </c>
      <c r="D60" s="35" t="s">
        <v>37</v>
      </c>
      <c r="E60" s="36">
        <f t="shared" si="175"/>
        <v>-3.2000000000000006</v>
      </c>
      <c r="F60" s="28">
        <v>0</v>
      </c>
      <c r="G60" s="38">
        <v>0</v>
      </c>
      <c r="H60" s="5">
        <f t="shared" si="112"/>
        <v>0</v>
      </c>
      <c r="I60" s="38">
        <f t="shared" si="171"/>
        <v>0</v>
      </c>
      <c r="J60" s="28">
        <f t="shared" si="86"/>
        <v>0</v>
      </c>
      <c r="K60" s="38">
        <f t="shared" si="172"/>
        <v>0</v>
      </c>
      <c r="L60" s="30">
        <f t="shared" si="51"/>
        <v>0</v>
      </c>
      <c r="M60" s="39">
        <f t="shared" si="173"/>
        <v>0</v>
      </c>
      <c r="N60" s="30">
        <f t="shared" si="177"/>
        <v>0</v>
      </c>
      <c r="O60" s="39">
        <f t="shared" si="181"/>
        <v>0</v>
      </c>
      <c r="P60" s="30">
        <f t="shared" si="177"/>
        <v>0</v>
      </c>
      <c r="Q60" s="39">
        <f t="shared" si="181"/>
        <v>0</v>
      </c>
      <c r="R60" s="30">
        <f t="shared" si="177"/>
        <v>0</v>
      </c>
      <c r="S60" s="39">
        <f t="shared" si="181"/>
        <v>0</v>
      </c>
      <c r="T60" s="30">
        <f t="shared" si="177"/>
        <v>0</v>
      </c>
      <c r="U60" s="39">
        <f t="shared" si="181"/>
        <v>0</v>
      </c>
      <c r="V60" s="30">
        <f t="shared" si="177"/>
        <v>0</v>
      </c>
      <c r="W60" s="39">
        <f t="shared" si="181"/>
        <v>0</v>
      </c>
      <c r="X60" s="30">
        <f t="shared" si="177"/>
        <v>0</v>
      </c>
      <c r="Y60" s="39">
        <f t="shared" si="181"/>
        <v>0</v>
      </c>
      <c r="Z60" s="30">
        <f t="shared" si="177"/>
        <v>0</v>
      </c>
      <c r="AA60" s="39">
        <f t="shared" si="181"/>
        <v>0</v>
      </c>
      <c r="AB60" s="30">
        <f t="shared" si="177"/>
        <v>0</v>
      </c>
      <c r="AC60" s="39">
        <f t="shared" si="181"/>
        <v>0</v>
      </c>
      <c r="AD60" s="30">
        <f t="shared" si="178"/>
        <v>0</v>
      </c>
      <c r="AE60" s="39">
        <f t="shared" si="182"/>
        <v>0</v>
      </c>
      <c r="AF60" s="30">
        <f t="shared" si="178"/>
        <v>0</v>
      </c>
      <c r="AG60" s="39">
        <f t="shared" si="182"/>
        <v>0</v>
      </c>
      <c r="AH60" s="30">
        <f t="shared" si="178"/>
        <v>0</v>
      </c>
      <c r="AI60" s="39">
        <f t="shared" si="182"/>
        <v>0</v>
      </c>
      <c r="AJ60" s="30">
        <f t="shared" si="178"/>
        <v>0</v>
      </c>
      <c r="AK60" s="39">
        <f t="shared" si="182"/>
        <v>0</v>
      </c>
      <c r="AL60" s="30">
        <f t="shared" si="178"/>
        <v>1.2501259021160314E-4</v>
      </c>
      <c r="AM60" s="39">
        <f t="shared" si="182"/>
        <v>1.2501259021160314E-4</v>
      </c>
      <c r="AN60" s="30">
        <f t="shared" si="178"/>
        <v>1.5279316581418161E-4</v>
      </c>
      <c r="AO60" s="39">
        <f t="shared" si="182"/>
        <v>1.5279316581418161E-4</v>
      </c>
      <c r="AP60" s="30">
        <f t="shared" si="178"/>
        <v>6.8340215982343037E-4</v>
      </c>
      <c r="AQ60" s="39">
        <f t="shared" si="182"/>
        <v>6.8340215982343037E-4</v>
      </c>
      <c r="AR60" s="30">
        <f t="shared" si="178"/>
        <v>8.0424766369464645E-4</v>
      </c>
      <c r="AS60" s="39">
        <f t="shared" si="182"/>
        <v>8.0424766369464645E-4</v>
      </c>
      <c r="AT60" s="30">
        <f t="shared" si="176"/>
        <v>2.1266030623773823E-3</v>
      </c>
      <c r="AU60" s="39">
        <f t="shared" si="179"/>
        <v>2.1266030623773823E-3</v>
      </c>
      <c r="AV60" s="30">
        <f t="shared" si="176"/>
        <v>2.4419125954666474E-3</v>
      </c>
      <c r="AW60" s="39">
        <f t="shared" si="179"/>
        <v>2.4419125954666474E-3</v>
      </c>
      <c r="AX60" s="30">
        <f t="shared" si="176"/>
        <v>4.9810572055423207E-3</v>
      </c>
      <c r="AY60" s="39">
        <f t="shared" si="179"/>
        <v>4.9810572055423207E-3</v>
      </c>
      <c r="AZ60" s="30">
        <f t="shared" si="176"/>
        <v>5.6151488436711741E-3</v>
      </c>
      <c r="BA60" s="39">
        <f t="shared" si="179"/>
        <v>5.6151488436711741E-3</v>
      </c>
      <c r="BB60" s="30">
        <f t="shared" si="176"/>
        <v>9.7794137193483073E-3</v>
      </c>
      <c r="BC60" s="39">
        <f t="shared" si="180"/>
        <v>9.7794137193483073E-3</v>
      </c>
      <c r="BD60" s="30">
        <f t="shared" si="176"/>
        <v>1.0864852896720303E-2</v>
      </c>
      <c r="BE60" s="39">
        <f t="shared" si="180"/>
        <v>1.0864852896720303E-2</v>
      </c>
      <c r="BF60" s="30">
        <f t="shared" si="176"/>
        <v>1.7007268383898537E-2</v>
      </c>
      <c r="BG60" s="39">
        <f t="shared" si="180"/>
        <v>1.7007268383898537E-2</v>
      </c>
      <c r="BH60" s="30">
        <f t="shared" si="176"/>
        <v>1.8673169666341603E-2</v>
      </c>
      <c r="BI60" s="39">
        <f t="shared" si="180"/>
        <v>1.8673169666341603E-2</v>
      </c>
    </row>
    <row r="61" spans="2:61" x14ac:dyDescent="0.3">
      <c r="B61" s="34"/>
      <c r="C61" s="14">
        <f t="shared" si="174"/>
        <v>3.4000000000000008</v>
      </c>
      <c r="D61" s="35" t="s">
        <v>37</v>
      </c>
      <c r="E61" s="36">
        <f t="shared" si="175"/>
        <v>-3.4000000000000008</v>
      </c>
      <c r="F61" s="28">
        <v>0</v>
      </c>
      <c r="G61" s="38">
        <v>0</v>
      </c>
      <c r="H61" s="5">
        <f t="shared" si="112"/>
        <v>0</v>
      </c>
      <c r="I61" s="38">
        <f t="shared" si="171"/>
        <v>0</v>
      </c>
      <c r="J61" s="28">
        <f t="shared" si="86"/>
        <v>0</v>
      </c>
      <c r="K61" s="38">
        <f t="shared" si="172"/>
        <v>0</v>
      </c>
      <c r="L61" s="30">
        <f t="shared" si="51"/>
        <v>0</v>
      </c>
      <c r="M61" s="39">
        <f t="shared" si="173"/>
        <v>0</v>
      </c>
      <c r="N61" s="30">
        <f t="shared" si="177"/>
        <v>0</v>
      </c>
      <c r="O61" s="39">
        <f t="shared" si="181"/>
        <v>0</v>
      </c>
      <c r="P61" s="30">
        <f t="shared" si="177"/>
        <v>0</v>
      </c>
      <c r="Q61" s="39">
        <f t="shared" si="181"/>
        <v>0</v>
      </c>
      <c r="R61" s="30">
        <f t="shared" si="177"/>
        <v>0</v>
      </c>
      <c r="S61" s="39">
        <f t="shared" si="181"/>
        <v>0</v>
      </c>
      <c r="T61" s="30">
        <f t="shared" si="177"/>
        <v>0</v>
      </c>
      <c r="U61" s="39">
        <f t="shared" si="181"/>
        <v>0</v>
      </c>
      <c r="V61" s="30">
        <f t="shared" si="177"/>
        <v>0</v>
      </c>
      <c r="W61" s="39">
        <f t="shared" si="181"/>
        <v>0</v>
      </c>
      <c r="X61" s="30">
        <f t="shared" si="177"/>
        <v>0</v>
      </c>
      <c r="Y61" s="39">
        <f t="shared" si="181"/>
        <v>0</v>
      </c>
      <c r="Z61" s="30">
        <f t="shared" si="177"/>
        <v>0</v>
      </c>
      <c r="AA61" s="39">
        <f t="shared" si="181"/>
        <v>0</v>
      </c>
      <c r="AB61" s="30">
        <f t="shared" si="177"/>
        <v>0</v>
      </c>
      <c r="AC61" s="39">
        <f t="shared" si="181"/>
        <v>0</v>
      </c>
      <c r="AD61" s="30">
        <f t="shared" si="178"/>
        <v>0</v>
      </c>
      <c r="AE61" s="39">
        <f t="shared" si="182"/>
        <v>0</v>
      </c>
      <c r="AF61" s="30">
        <f t="shared" si="178"/>
        <v>0</v>
      </c>
      <c r="AG61" s="39">
        <f t="shared" si="182"/>
        <v>0</v>
      </c>
      <c r="AH61" s="30">
        <f t="shared" si="178"/>
        <v>0</v>
      </c>
      <c r="AI61" s="39">
        <f t="shared" si="182"/>
        <v>0</v>
      </c>
      <c r="AJ61" s="30">
        <f t="shared" si="178"/>
        <v>0</v>
      </c>
      <c r="AK61" s="39">
        <f t="shared" si="182"/>
        <v>0</v>
      </c>
      <c r="AL61" s="30">
        <f t="shared" si="178"/>
        <v>0</v>
      </c>
      <c r="AM61" s="39">
        <f t="shared" si="182"/>
        <v>0</v>
      </c>
      <c r="AN61" s="30">
        <f t="shared" si="178"/>
        <v>6.2506295105801572E-5</v>
      </c>
      <c r="AO61" s="39">
        <f t="shared" si="182"/>
        <v>6.2506295105801572E-5</v>
      </c>
      <c r="AP61" s="30">
        <f t="shared" si="178"/>
        <v>7.6396582907090806E-5</v>
      </c>
      <c r="AQ61" s="39">
        <f t="shared" si="182"/>
        <v>7.6396582907090806E-5</v>
      </c>
      <c r="AR61" s="30">
        <f t="shared" si="178"/>
        <v>3.5732765368816556E-4</v>
      </c>
      <c r="AS61" s="39">
        <f t="shared" si="182"/>
        <v>3.5732765368816556E-4</v>
      </c>
      <c r="AT61" s="30">
        <f t="shared" si="176"/>
        <v>4.2122297757409591E-4</v>
      </c>
      <c r="AU61" s="39">
        <f t="shared" si="179"/>
        <v>4.2122297757409591E-4</v>
      </c>
      <c r="AV61" s="30">
        <f t="shared" si="176"/>
        <v>1.1565400880548451E-3</v>
      </c>
      <c r="AW61" s="39">
        <f t="shared" si="179"/>
        <v>1.1565400880548451E-3</v>
      </c>
      <c r="AX61" s="30">
        <f t="shared" si="176"/>
        <v>1.3310368285585409E-3</v>
      </c>
      <c r="AY61" s="39">
        <f t="shared" si="179"/>
        <v>1.3310368285585409E-3</v>
      </c>
      <c r="AZ61" s="30">
        <f t="shared" si="176"/>
        <v>2.8039499248624384E-3</v>
      </c>
      <c r="BA61" s="39">
        <f t="shared" si="179"/>
        <v>2.8039499248624384E-3</v>
      </c>
      <c r="BB61" s="30">
        <f t="shared" si="176"/>
        <v>3.1690474582894497E-3</v>
      </c>
      <c r="BC61" s="39">
        <f t="shared" si="180"/>
        <v>3.1690474582894497E-3</v>
      </c>
      <c r="BD61" s="30">
        <f t="shared" si="176"/>
        <v>5.6753654116472319E-3</v>
      </c>
      <c r="BE61" s="39">
        <f t="shared" si="180"/>
        <v>5.6753654116472319E-3</v>
      </c>
      <c r="BF61" s="30">
        <f t="shared" si="176"/>
        <v>6.3225334535265175E-3</v>
      </c>
      <c r="BG61" s="39">
        <f t="shared" si="180"/>
        <v>6.3225334535265175E-3</v>
      </c>
      <c r="BH61" s="30">
        <f t="shared" si="176"/>
        <v>1.0141697926906189E-2</v>
      </c>
      <c r="BI61" s="39">
        <f t="shared" si="180"/>
        <v>1.0141697926906189E-2</v>
      </c>
    </row>
    <row r="62" spans="2:61" x14ac:dyDescent="0.3">
      <c r="B62" s="34"/>
      <c r="C62" s="14">
        <f t="shared" si="174"/>
        <v>3.600000000000001</v>
      </c>
      <c r="D62" s="35" t="s">
        <v>37</v>
      </c>
      <c r="E62" s="36">
        <f t="shared" si="175"/>
        <v>-3.600000000000001</v>
      </c>
      <c r="F62" s="28">
        <v>0</v>
      </c>
      <c r="G62" s="38">
        <v>0</v>
      </c>
      <c r="H62" s="5">
        <f t="shared" si="112"/>
        <v>0</v>
      </c>
      <c r="I62" s="38">
        <f t="shared" si="171"/>
        <v>0</v>
      </c>
      <c r="J62" s="28">
        <f t="shared" si="86"/>
        <v>0</v>
      </c>
      <c r="K62" s="38">
        <f t="shared" si="172"/>
        <v>0</v>
      </c>
      <c r="L62" s="30">
        <f t="shared" si="51"/>
        <v>0</v>
      </c>
      <c r="M62" s="39">
        <f t="shared" si="173"/>
        <v>0</v>
      </c>
      <c r="N62" s="30">
        <f t="shared" si="177"/>
        <v>0</v>
      </c>
      <c r="O62" s="39">
        <f t="shared" si="181"/>
        <v>0</v>
      </c>
      <c r="P62" s="30">
        <f t="shared" si="177"/>
        <v>0</v>
      </c>
      <c r="Q62" s="39">
        <f t="shared" si="181"/>
        <v>0</v>
      </c>
      <c r="R62" s="30">
        <f t="shared" si="177"/>
        <v>0</v>
      </c>
      <c r="S62" s="39">
        <f t="shared" si="181"/>
        <v>0</v>
      </c>
      <c r="T62" s="30">
        <f t="shared" si="177"/>
        <v>0</v>
      </c>
      <c r="U62" s="39">
        <f t="shared" si="181"/>
        <v>0</v>
      </c>
      <c r="V62" s="30">
        <f t="shared" si="177"/>
        <v>0</v>
      </c>
      <c r="W62" s="39">
        <f t="shared" si="181"/>
        <v>0</v>
      </c>
      <c r="X62" s="30">
        <f t="shared" si="177"/>
        <v>0</v>
      </c>
      <c r="Y62" s="39">
        <f t="shared" si="181"/>
        <v>0</v>
      </c>
      <c r="Z62" s="30">
        <f t="shared" si="177"/>
        <v>0</v>
      </c>
      <c r="AA62" s="39">
        <f t="shared" si="181"/>
        <v>0</v>
      </c>
      <c r="AB62" s="30">
        <f t="shared" si="177"/>
        <v>0</v>
      </c>
      <c r="AC62" s="39">
        <f t="shared" si="181"/>
        <v>0</v>
      </c>
      <c r="AD62" s="30">
        <f t="shared" si="178"/>
        <v>0</v>
      </c>
      <c r="AE62" s="39">
        <f t="shared" si="182"/>
        <v>0</v>
      </c>
      <c r="AF62" s="30">
        <f t="shared" si="178"/>
        <v>0</v>
      </c>
      <c r="AG62" s="39">
        <f t="shared" si="182"/>
        <v>0</v>
      </c>
      <c r="AH62" s="30">
        <f t="shared" si="178"/>
        <v>0</v>
      </c>
      <c r="AI62" s="39">
        <f t="shared" si="182"/>
        <v>0</v>
      </c>
      <c r="AJ62" s="30">
        <f t="shared" si="178"/>
        <v>0</v>
      </c>
      <c r="AK62" s="39">
        <f t="shared" si="182"/>
        <v>0</v>
      </c>
      <c r="AL62" s="30">
        <f t="shared" si="178"/>
        <v>0</v>
      </c>
      <c r="AM62" s="39">
        <f t="shared" si="182"/>
        <v>0</v>
      </c>
      <c r="AN62" s="30">
        <f t="shared" si="178"/>
        <v>0</v>
      </c>
      <c r="AO62" s="39">
        <f t="shared" si="182"/>
        <v>0</v>
      </c>
      <c r="AP62" s="30">
        <f t="shared" si="178"/>
        <v>3.1253147552900786E-5</v>
      </c>
      <c r="AQ62" s="39">
        <f t="shared" si="182"/>
        <v>3.1253147552900786E-5</v>
      </c>
      <c r="AR62" s="30">
        <f t="shared" si="178"/>
        <v>3.8198291453545403E-5</v>
      </c>
      <c r="AS62" s="39">
        <f t="shared" si="182"/>
        <v>3.8198291453545403E-5</v>
      </c>
      <c r="AT62" s="30">
        <f t="shared" si="176"/>
        <v>1.8647711373230797E-4</v>
      </c>
      <c r="AU62" s="39">
        <f t="shared" si="179"/>
        <v>1.8647711373230797E-4</v>
      </c>
      <c r="AV62" s="30">
        <f t="shared" si="176"/>
        <v>2.2016106165043429E-4</v>
      </c>
      <c r="AW62" s="39">
        <f t="shared" si="179"/>
        <v>2.2016106165043429E-4</v>
      </c>
      <c r="AX62" s="30">
        <f t="shared" si="176"/>
        <v>6.2684264418255578E-4</v>
      </c>
      <c r="AY62" s="39">
        <f t="shared" si="179"/>
        <v>6.2684264418255578E-4</v>
      </c>
      <c r="AZ62" s="30">
        <f t="shared" si="176"/>
        <v>7.2294607290772557E-4</v>
      </c>
      <c r="BA62" s="39">
        <f t="shared" si="179"/>
        <v>7.2294607290772557E-4</v>
      </c>
      <c r="BB62" s="30">
        <f t="shared" si="176"/>
        <v>1.5713171039461555E-3</v>
      </c>
      <c r="BC62" s="39">
        <f t="shared" si="180"/>
        <v>1.5713171039461555E-3</v>
      </c>
      <c r="BD62" s="30">
        <f t="shared" si="176"/>
        <v>1.7802140103327316E-3</v>
      </c>
      <c r="BE62" s="39">
        <f t="shared" si="180"/>
        <v>1.7802140103327316E-3</v>
      </c>
      <c r="BF62" s="30">
        <f t="shared" si="176"/>
        <v>3.2761274699138416E-3</v>
      </c>
      <c r="BG62" s="39">
        <f t="shared" si="180"/>
        <v>3.2761274699138416E-3</v>
      </c>
      <c r="BH62" s="30">
        <f t="shared" si="176"/>
        <v>3.6591304524597025E-3</v>
      </c>
      <c r="BI62" s="39">
        <f t="shared" si="180"/>
        <v>3.6591304524597025E-3</v>
      </c>
    </row>
    <row r="63" spans="2:61" x14ac:dyDescent="0.3">
      <c r="B63" s="34"/>
      <c r="C63" s="14">
        <f t="shared" si="174"/>
        <v>3.8000000000000012</v>
      </c>
      <c r="D63" s="35" t="s">
        <v>37</v>
      </c>
      <c r="E63" s="36">
        <f t="shared" si="175"/>
        <v>-3.8000000000000012</v>
      </c>
      <c r="F63" s="28">
        <v>0</v>
      </c>
      <c r="G63" s="38">
        <v>0</v>
      </c>
      <c r="H63" s="5">
        <f t="shared" si="112"/>
        <v>0</v>
      </c>
      <c r="I63" s="38">
        <f t="shared" si="171"/>
        <v>0</v>
      </c>
      <c r="J63" s="28">
        <f t="shared" si="86"/>
        <v>0</v>
      </c>
      <c r="K63" s="38">
        <f t="shared" si="172"/>
        <v>0</v>
      </c>
      <c r="L63" s="30">
        <f t="shared" si="51"/>
        <v>0</v>
      </c>
      <c r="M63" s="39">
        <f t="shared" si="173"/>
        <v>0</v>
      </c>
      <c r="N63" s="30">
        <f t="shared" si="177"/>
        <v>0</v>
      </c>
      <c r="O63" s="39">
        <f t="shared" si="181"/>
        <v>0</v>
      </c>
      <c r="P63" s="30">
        <f t="shared" si="177"/>
        <v>0</v>
      </c>
      <c r="Q63" s="39">
        <f t="shared" si="181"/>
        <v>0</v>
      </c>
      <c r="R63" s="30">
        <f t="shared" si="177"/>
        <v>0</v>
      </c>
      <c r="S63" s="39">
        <f t="shared" si="181"/>
        <v>0</v>
      </c>
      <c r="T63" s="30">
        <f t="shared" si="177"/>
        <v>0</v>
      </c>
      <c r="U63" s="39">
        <f t="shared" si="181"/>
        <v>0</v>
      </c>
      <c r="V63" s="30">
        <f t="shared" si="177"/>
        <v>0</v>
      </c>
      <c r="W63" s="39">
        <f t="shared" si="181"/>
        <v>0</v>
      </c>
      <c r="X63" s="30">
        <f t="shared" si="177"/>
        <v>0</v>
      </c>
      <c r="Y63" s="39">
        <f t="shared" si="181"/>
        <v>0</v>
      </c>
      <c r="Z63" s="30">
        <f t="shared" si="177"/>
        <v>0</v>
      </c>
      <c r="AA63" s="39">
        <f t="shared" si="181"/>
        <v>0</v>
      </c>
      <c r="AB63" s="30">
        <f t="shared" si="177"/>
        <v>0</v>
      </c>
      <c r="AC63" s="39">
        <f t="shared" si="181"/>
        <v>0</v>
      </c>
      <c r="AD63" s="30">
        <f t="shared" si="178"/>
        <v>0</v>
      </c>
      <c r="AE63" s="39">
        <f t="shared" si="182"/>
        <v>0</v>
      </c>
      <c r="AF63" s="30">
        <f t="shared" si="178"/>
        <v>0</v>
      </c>
      <c r="AG63" s="39">
        <f t="shared" si="182"/>
        <v>0</v>
      </c>
      <c r="AH63" s="30">
        <f t="shared" si="178"/>
        <v>0</v>
      </c>
      <c r="AI63" s="39">
        <f t="shared" si="182"/>
        <v>0</v>
      </c>
      <c r="AJ63" s="30">
        <f t="shared" si="178"/>
        <v>0</v>
      </c>
      <c r="AK63" s="39">
        <f t="shared" si="182"/>
        <v>0</v>
      </c>
      <c r="AL63" s="30">
        <f t="shared" si="178"/>
        <v>0</v>
      </c>
      <c r="AM63" s="39">
        <f t="shared" si="182"/>
        <v>0</v>
      </c>
      <c r="AN63" s="30">
        <f t="shared" si="178"/>
        <v>0</v>
      </c>
      <c r="AO63" s="39">
        <f t="shared" si="182"/>
        <v>0</v>
      </c>
      <c r="AP63" s="30">
        <f t="shared" si="178"/>
        <v>0</v>
      </c>
      <c r="AQ63" s="39">
        <f t="shared" si="182"/>
        <v>0</v>
      </c>
      <c r="AR63" s="30">
        <f t="shared" si="178"/>
        <v>1.5626573776450393E-5</v>
      </c>
      <c r="AS63" s="39">
        <f t="shared" si="182"/>
        <v>1.5626573776450393E-5</v>
      </c>
      <c r="AT63" s="30">
        <f t="shared" si="176"/>
        <v>1.9099145726772701E-5</v>
      </c>
      <c r="AU63" s="39">
        <f t="shared" si="179"/>
        <v>1.9099145726772701E-5</v>
      </c>
      <c r="AV63" s="30">
        <f t="shared" si="176"/>
        <v>9.7145200310266576E-5</v>
      </c>
      <c r="AW63" s="39">
        <f t="shared" si="179"/>
        <v>9.7145200310266576E-5</v>
      </c>
      <c r="AX63" s="30">
        <f t="shared" si="176"/>
        <v>1.1485531725691032E-4</v>
      </c>
      <c r="AY63" s="39">
        <f t="shared" si="179"/>
        <v>1.1485531725691032E-4</v>
      </c>
      <c r="AZ63" s="30">
        <f t="shared" si="176"/>
        <v>3.3868428302987266E-4</v>
      </c>
      <c r="BA63" s="39">
        <f t="shared" si="179"/>
        <v>3.3868428302987266E-4</v>
      </c>
      <c r="BB63" s="30">
        <f t="shared" si="176"/>
        <v>3.9138056237601363E-4</v>
      </c>
      <c r="BC63" s="39">
        <f t="shared" si="180"/>
        <v>3.9138056237601363E-4</v>
      </c>
      <c r="BD63" s="30">
        <f t="shared" si="176"/>
        <v>8.7688952818045169E-4</v>
      </c>
      <c r="BE63" s="39">
        <f t="shared" si="180"/>
        <v>8.7688952818045169E-4</v>
      </c>
      <c r="BF63" s="30">
        <f t="shared" si="176"/>
        <v>9.9572745139288777E-4</v>
      </c>
      <c r="BG63" s="39">
        <f t="shared" si="180"/>
        <v>9.9572745139288777E-4</v>
      </c>
      <c r="BH63" s="30">
        <f t="shared" si="176"/>
        <v>1.8817948787201678E-3</v>
      </c>
      <c r="BI63" s="39">
        <f t="shared" si="180"/>
        <v>1.8817948787201678E-3</v>
      </c>
    </row>
    <row r="64" spans="2:61" x14ac:dyDescent="0.3">
      <c r="B64" s="34"/>
      <c r="C64" s="14">
        <f t="shared" si="174"/>
        <v>4.0000000000000009</v>
      </c>
      <c r="D64" s="35" t="s">
        <v>37</v>
      </c>
      <c r="E64" s="36">
        <f t="shared" si="175"/>
        <v>-4.0000000000000009</v>
      </c>
      <c r="F64" s="28">
        <v>0</v>
      </c>
      <c r="G64" s="38">
        <v>0</v>
      </c>
      <c r="H64" s="5">
        <f t="shared" si="112"/>
        <v>0</v>
      </c>
      <c r="I64" s="38">
        <f t="shared" si="171"/>
        <v>0</v>
      </c>
      <c r="J64" s="28">
        <f t="shared" si="86"/>
        <v>0</v>
      </c>
      <c r="K64" s="38">
        <f t="shared" si="172"/>
        <v>0</v>
      </c>
      <c r="L64" s="30">
        <f t="shared" si="51"/>
        <v>0</v>
      </c>
      <c r="M64" s="39">
        <f t="shared" si="173"/>
        <v>0</v>
      </c>
      <c r="N64" s="30">
        <f t="shared" si="177"/>
        <v>0</v>
      </c>
      <c r="O64" s="39">
        <f t="shared" si="181"/>
        <v>0</v>
      </c>
      <c r="P64" s="30">
        <f t="shared" si="177"/>
        <v>0</v>
      </c>
      <c r="Q64" s="39">
        <f t="shared" si="181"/>
        <v>0</v>
      </c>
      <c r="R64" s="30">
        <f t="shared" si="177"/>
        <v>0</v>
      </c>
      <c r="S64" s="39">
        <f t="shared" si="181"/>
        <v>0</v>
      </c>
      <c r="T64" s="30">
        <f t="shared" si="177"/>
        <v>0</v>
      </c>
      <c r="U64" s="39">
        <f t="shared" si="181"/>
        <v>0</v>
      </c>
      <c r="V64" s="30">
        <f t="shared" si="177"/>
        <v>0</v>
      </c>
      <c r="W64" s="39">
        <f t="shared" si="181"/>
        <v>0</v>
      </c>
      <c r="X64" s="30">
        <f t="shared" si="177"/>
        <v>0</v>
      </c>
      <c r="Y64" s="39">
        <f t="shared" si="181"/>
        <v>0</v>
      </c>
      <c r="Z64" s="30">
        <f t="shared" si="177"/>
        <v>0</v>
      </c>
      <c r="AA64" s="39">
        <f t="shared" si="181"/>
        <v>0</v>
      </c>
      <c r="AB64" s="30">
        <f t="shared" si="177"/>
        <v>0</v>
      </c>
      <c r="AC64" s="39">
        <f t="shared" si="181"/>
        <v>0</v>
      </c>
      <c r="AD64" s="30">
        <f t="shared" si="178"/>
        <v>0</v>
      </c>
      <c r="AE64" s="39">
        <f t="shared" si="182"/>
        <v>0</v>
      </c>
      <c r="AF64" s="30">
        <f t="shared" si="178"/>
        <v>0</v>
      </c>
      <c r="AG64" s="39">
        <f t="shared" si="182"/>
        <v>0</v>
      </c>
      <c r="AH64" s="30">
        <f t="shared" si="178"/>
        <v>0</v>
      </c>
      <c r="AI64" s="39">
        <f t="shared" si="182"/>
        <v>0</v>
      </c>
      <c r="AJ64" s="30">
        <f t="shared" si="178"/>
        <v>0</v>
      </c>
      <c r="AK64" s="39">
        <f t="shared" si="182"/>
        <v>0</v>
      </c>
      <c r="AL64" s="30">
        <f t="shared" si="178"/>
        <v>0</v>
      </c>
      <c r="AM64" s="39">
        <f t="shared" si="182"/>
        <v>0</v>
      </c>
      <c r="AN64" s="30">
        <f t="shared" si="178"/>
        <v>0</v>
      </c>
      <c r="AO64" s="39">
        <f t="shared" si="182"/>
        <v>0</v>
      </c>
      <c r="AP64" s="30">
        <f t="shared" si="178"/>
        <v>0</v>
      </c>
      <c r="AQ64" s="39">
        <f t="shared" si="182"/>
        <v>0</v>
      </c>
      <c r="AR64" s="30">
        <f t="shared" si="178"/>
        <v>0</v>
      </c>
      <c r="AS64" s="39">
        <f t="shared" si="182"/>
        <v>0</v>
      </c>
      <c r="AT64" s="30">
        <f t="shared" si="176"/>
        <v>7.8132868882251965E-6</v>
      </c>
      <c r="AU64" s="39">
        <f t="shared" si="179"/>
        <v>7.8132868882251965E-6</v>
      </c>
      <c r="AV64" s="30">
        <f t="shared" si="176"/>
        <v>9.5495728633863507E-6</v>
      </c>
      <c r="AW64" s="39">
        <f t="shared" si="179"/>
        <v>9.5495728633863507E-6</v>
      </c>
      <c r="AX64" s="30">
        <f t="shared" si="176"/>
        <v>5.0525921877189584E-5</v>
      </c>
      <c r="AY64" s="39">
        <f t="shared" si="179"/>
        <v>5.0525921877189584E-5</v>
      </c>
      <c r="AZ64" s="30">
        <f t="shared" si="176"/>
        <v>5.9815051844301742E-5</v>
      </c>
      <c r="BA64" s="39">
        <f t="shared" si="179"/>
        <v>5.9815051844301742E-5</v>
      </c>
      <c r="BB64" s="30">
        <f t="shared" si="176"/>
        <v>1.8246195241474779E-4</v>
      </c>
      <c r="BC64" s="39">
        <f t="shared" si="180"/>
        <v>1.8246195241474779E-4</v>
      </c>
      <c r="BD64" s="30">
        <f t="shared" si="176"/>
        <v>2.1124089245304391E-4</v>
      </c>
      <c r="BE64" s="39">
        <f t="shared" si="180"/>
        <v>2.1124089245304391E-4</v>
      </c>
      <c r="BF64" s="30">
        <f t="shared" si="176"/>
        <v>4.8746228752649418E-4</v>
      </c>
      <c r="BG64" s="39">
        <f t="shared" si="180"/>
        <v>4.8746228752649418E-4</v>
      </c>
      <c r="BH64" s="30">
        <f t="shared" si="176"/>
        <v>5.5471081370195459E-4</v>
      </c>
      <c r="BI64" s="39">
        <f t="shared" si="180"/>
        <v>5.5471081370195459E-4</v>
      </c>
    </row>
    <row r="65" spans="2:61" x14ac:dyDescent="0.3">
      <c r="B65" s="34"/>
      <c r="C65" s="14">
        <f t="shared" si="174"/>
        <v>4.2000000000000011</v>
      </c>
      <c r="D65" s="35" t="s">
        <v>37</v>
      </c>
      <c r="E65" s="36">
        <f t="shared" si="175"/>
        <v>-4.2000000000000011</v>
      </c>
      <c r="F65" s="28">
        <v>0</v>
      </c>
      <c r="G65" s="38">
        <v>0</v>
      </c>
      <c r="H65" s="5">
        <f t="shared" si="112"/>
        <v>0</v>
      </c>
      <c r="I65" s="38">
        <f t="shared" si="171"/>
        <v>0</v>
      </c>
      <c r="J65" s="28">
        <f t="shared" si="86"/>
        <v>0</v>
      </c>
      <c r="K65" s="38">
        <f t="shared" si="172"/>
        <v>0</v>
      </c>
      <c r="L65" s="30">
        <f t="shared" si="51"/>
        <v>0</v>
      </c>
      <c r="M65" s="39">
        <f t="shared" si="173"/>
        <v>0</v>
      </c>
      <c r="N65" s="30">
        <f t="shared" si="177"/>
        <v>0</v>
      </c>
      <c r="O65" s="39">
        <f t="shared" si="181"/>
        <v>0</v>
      </c>
      <c r="P65" s="30">
        <f t="shared" si="177"/>
        <v>0</v>
      </c>
      <c r="Q65" s="39">
        <f t="shared" si="181"/>
        <v>0</v>
      </c>
      <c r="R65" s="30">
        <f t="shared" si="177"/>
        <v>0</v>
      </c>
      <c r="S65" s="39">
        <f t="shared" si="181"/>
        <v>0</v>
      </c>
      <c r="T65" s="30">
        <f t="shared" si="177"/>
        <v>0</v>
      </c>
      <c r="U65" s="39">
        <f t="shared" si="181"/>
        <v>0</v>
      </c>
      <c r="V65" s="30">
        <f t="shared" si="177"/>
        <v>0</v>
      </c>
      <c r="W65" s="39">
        <f t="shared" si="181"/>
        <v>0</v>
      </c>
      <c r="X65" s="30">
        <f t="shared" si="177"/>
        <v>0</v>
      </c>
      <c r="Y65" s="39">
        <f t="shared" si="181"/>
        <v>0</v>
      </c>
      <c r="Z65" s="30">
        <f t="shared" si="177"/>
        <v>0</v>
      </c>
      <c r="AA65" s="39">
        <f t="shared" si="181"/>
        <v>0</v>
      </c>
      <c r="AB65" s="30">
        <f t="shared" si="177"/>
        <v>0</v>
      </c>
      <c r="AC65" s="39">
        <f t="shared" si="181"/>
        <v>0</v>
      </c>
      <c r="AD65" s="30">
        <f t="shared" si="178"/>
        <v>0</v>
      </c>
      <c r="AE65" s="39">
        <f t="shared" si="182"/>
        <v>0</v>
      </c>
      <c r="AF65" s="30">
        <f t="shared" si="178"/>
        <v>0</v>
      </c>
      <c r="AG65" s="39">
        <f t="shared" si="182"/>
        <v>0</v>
      </c>
      <c r="AH65" s="30">
        <f t="shared" si="178"/>
        <v>0</v>
      </c>
      <c r="AI65" s="39">
        <f t="shared" si="182"/>
        <v>0</v>
      </c>
      <c r="AJ65" s="30">
        <f t="shared" si="178"/>
        <v>0</v>
      </c>
      <c r="AK65" s="39">
        <f t="shared" si="182"/>
        <v>0</v>
      </c>
      <c r="AL65" s="30">
        <f t="shared" si="178"/>
        <v>0</v>
      </c>
      <c r="AM65" s="39">
        <f t="shared" si="182"/>
        <v>0</v>
      </c>
      <c r="AN65" s="30">
        <f t="shared" si="178"/>
        <v>0</v>
      </c>
      <c r="AO65" s="39">
        <f t="shared" si="182"/>
        <v>0</v>
      </c>
      <c r="AP65" s="30">
        <f t="shared" si="178"/>
        <v>0</v>
      </c>
      <c r="AQ65" s="39">
        <f t="shared" si="182"/>
        <v>0</v>
      </c>
      <c r="AR65" s="30">
        <f t="shared" si="178"/>
        <v>0</v>
      </c>
      <c r="AS65" s="39">
        <f t="shared" si="182"/>
        <v>0</v>
      </c>
      <c r="AT65" s="30">
        <f t="shared" si="176"/>
        <v>0</v>
      </c>
      <c r="AU65" s="39">
        <f t="shared" si="179"/>
        <v>0</v>
      </c>
      <c r="AV65" s="30">
        <f t="shared" si="176"/>
        <v>3.9066434441125983E-6</v>
      </c>
      <c r="AW65" s="39">
        <f t="shared" si="179"/>
        <v>3.9066434441125983E-6</v>
      </c>
      <c r="AX65" s="30">
        <f t="shared" si="176"/>
        <v>4.7747864316931754E-6</v>
      </c>
      <c r="AY65" s="39">
        <f t="shared" si="179"/>
        <v>4.7747864316931754E-6</v>
      </c>
      <c r="AZ65" s="30">
        <f t="shared" si="176"/>
        <v>2.6239621799622941E-5</v>
      </c>
      <c r="BA65" s="39">
        <f t="shared" si="179"/>
        <v>2.6239621799622941E-5</v>
      </c>
      <c r="BB65" s="30">
        <f t="shared" si="176"/>
        <v>3.1101222530074167E-5</v>
      </c>
      <c r="BC65" s="39">
        <f t="shared" si="180"/>
        <v>3.1101222530074167E-5</v>
      </c>
      <c r="BD65" s="30">
        <f t="shared" si="176"/>
        <v>9.8035046872536674E-5</v>
      </c>
      <c r="BE65" s="39">
        <f t="shared" si="180"/>
        <v>9.8035046872536674E-5</v>
      </c>
      <c r="BF65" s="30">
        <f t="shared" si="176"/>
        <v>1.1369417601102132E-4</v>
      </c>
      <c r="BG65" s="39">
        <f t="shared" si="180"/>
        <v>1.1369417601102132E-4</v>
      </c>
      <c r="BH65" s="30">
        <f t="shared" si="176"/>
        <v>2.700019644514862E-4</v>
      </c>
      <c r="BI65" s="39">
        <f t="shared" si="180"/>
        <v>2.700019644514862E-4</v>
      </c>
    </row>
    <row r="66" spans="2:61" x14ac:dyDescent="0.3">
      <c r="B66" s="34"/>
      <c r="C66" s="14">
        <f t="shared" si="174"/>
        <v>4.4000000000000012</v>
      </c>
      <c r="D66" s="35" t="s">
        <v>37</v>
      </c>
      <c r="E66" s="36">
        <f t="shared" si="175"/>
        <v>-4.4000000000000012</v>
      </c>
      <c r="F66" s="28">
        <v>0</v>
      </c>
      <c r="G66" s="38">
        <v>0</v>
      </c>
      <c r="H66" s="5">
        <f t="shared" si="112"/>
        <v>0</v>
      </c>
      <c r="I66" s="38">
        <f t="shared" si="171"/>
        <v>0</v>
      </c>
      <c r="J66" s="28">
        <f t="shared" si="86"/>
        <v>0</v>
      </c>
      <c r="K66" s="38">
        <f t="shared" si="172"/>
        <v>0</v>
      </c>
      <c r="L66" s="30">
        <f t="shared" si="51"/>
        <v>0</v>
      </c>
      <c r="M66" s="39">
        <f t="shared" si="173"/>
        <v>0</v>
      </c>
      <c r="N66" s="30">
        <f t="shared" si="177"/>
        <v>0</v>
      </c>
      <c r="O66" s="39">
        <f t="shared" si="181"/>
        <v>0</v>
      </c>
      <c r="P66" s="30">
        <f t="shared" si="177"/>
        <v>0</v>
      </c>
      <c r="Q66" s="39">
        <f t="shared" si="181"/>
        <v>0</v>
      </c>
      <c r="R66" s="30">
        <f t="shared" si="177"/>
        <v>0</v>
      </c>
      <c r="S66" s="39">
        <f t="shared" si="181"/>
        <v>0</v>
      </c>
      <c r="T66" s="30">
        <f t="shared" si="177"/>
        <v>0</v>
      </c>
      <c r="U66" s="39">
        <f t="shared" si="181"/>
        <v>0</v>
      </c>
      <c r="V66" s="30">
        <f t="shared" si="177"/>
        <v>0</v>
      </c>
      <c r="W66" s="39">
        <f t="shared" si="181"/>
        <v>0</v>
      </c>
      <c r="X66" s="30">
        <f t="shared" si="177"/>
        <v>0</v>
      </c>
      <c r="Y66" s="39">
        <f t="shared" si="181"/>
        <v>0</v>
      </c>
      <c r="Z66" s="30">
        <f t="shared" si="177"/>
        <v>0</v>
      </c>
      <c r="AA66" s="39">
        <f t="shared" si="181"/>
        <v>0</v>
      </c>
      <c r="AB66" s="30">
        <f t="shared" si="177"/>
        <v>0</v>
      </c>
      <c r="AC66" s="39">
        <f t="shared" si="181"/>
        <v>0</v>
      </c>
      <c r="AD66" s="30">
        <f t="shared" si="178"/>
        <v>0</v>
      </c>
      <c r="AE66" s="39">
        <f t="shared" si="182"/>
        <v>0</v>
      </c>
      <c r="AF66" s="30">
        <f t="shared" si="178"/>
        <v>0</v>
      </c>
      <c r="AG66" s="39">
        <f t="shared" si="182"/>
        <v>0</v>
      </c>
      <c r="AH66" s="30">
        <f t="shared" si="178"/>
        <v>0</v>
      </c>
      <c r="AI66" s="39">
        <f t="shared" si="182"/>
        <v>0</v>
      </c>
      <c r="AJ66" s="30">
        <f t="shared" si="178"/>
        <v>0</v>
      </c>
      <c r="AK66" s="39">
        <f t="shared" si="182"/>
        <v>0</v>
      </c>
      <c r="AL66" s="30">
        <f t="shared" si="178"/>
        <v>0</v>
      </c>
      <c r="AM66" s="39">
        <f t="shared" si="182"/>
        <v>0</v>
      </c>
      <c r="AN66" s="30">
        <f t="shared" si="178"/>
        <v>0</v>
      </c>
      <c r="AO66" s="39">
        <f t="shared" si="182"/>
        <v>0</v>
      </c>
      <c r="AP66" s="30">
        <f t="shared" si="178"/>
        <v>0</v>
      </c>
      <c r="AQ66" s="39">
        <f t="shared" si="182"/>
        <v>0</v>
      </c>
      <c r="AR66" s="30">
        <f t="shared" si="178"/>
        <v>0</v>
      </c>
      <c r="AS66" s="39">
        <f t="shared" si="182"/>
        <v>0</v>
      </c>
      <c r="AT66" s="30">
        <f t="shared" si="176"/>
        <v>0</v>
      </c>
      <c r="AU66" s="39">
        <f t="shared" si="179"/>
        <v>0</v>
      </c>
      <c r="AV66" s="30">
        <f t="shared" si="176"/>
        <v>0</v>
      </c>
      <c r="AW66" s="39">
        <f t="shared" si="179"/>
        <v>0</v>
      </c>
      <c r="AX66" s="30">
        <f t="shared" si="176"/>
        <v>1.9533217220562991E-6</v>
      </c>
      <c r="AY66" s="39">
        <f t="shared" si="179"/>
        <v>1.9533217220562991E-6</v>
      </c>
      <c r="AZ66" s="30">
        <f t="shared" si="176"/>
        <v>2.3873932158465877E-6</v>
      </c>
      <c r="BA66" s="39">
        <f t="shared" si="179"/>
        <v>2.3873932158465877E-6</v>
      </c>
      <c r="BB66" s="30">
        <f t="shared" si="176"/>
        <v>1.3608141330325544E-5</v>
      </c>
      <c r="BC66" s="39">
        <f t="shared" si="180"/>
        <v>1.3608141330325544E-5</v>
      </c>
      <c r="BD66" s="30">
        <f t="shared" si="176"/>
        <v>1.6147459568998731E-5</v>
      </c>
      <c r="BE66" s="39">
        <f t="shared" si="180"/>
        <v>1.6147459568998731E-5</v>
      </c>
      <c r="BF66" s="30">
        <f t="shared" si="176"/>
        <v>5.2541641376478245E-5</v>
      </c>
      <c r="BG66" s="39">
        <f t="shared" si="180"/>
        <v>5.2541641376478245E-5</v>
      </c>
      <c r="BH66" s="30">
        <f t="shared" si="176"/>
        <v>6.1033164973750755E-5</v>
      </c>
      <c r="BI66" s="39">
        <f t="shared" si="180"/>
        <v>6.1033164973750755E-5</v>
      </c>
    </row>
    <row r="67" spans="2:61" x14ac:dyDescent="0.3">
      <c r="B67" s="34"/>
      <c r="C67" s="14">
        <f t="shared" si="174"/>
        <v>4.6000000000000014</v>
      </c>
      <c r="D67" s="35" t="s">
        <v>37</v>
      </c>
      <c r="E67" s="36">
        <f t="shared" si="175"/>
        <v>-4.6000000000000014</v>
      </c>
      <c r="F67" s="28">
        <v>0</v>
      </c>
      <c r="G67" s="38">
        <v>0</v>
      </c>
      <c r="H67" s="5">
        <f t="shared" si="112"/>
        <v>0</v>
      </c>
      <c r="I67" s="38">
        <f t="shared" si="171"/>
        <v>0</v>
      </c>
      <c r="J67" s="28">
        <f t="shared" si="86"/>
        <v>0</v>
      </c>
      <c r="K67" s="38">
        <f t="shared" si="172"/>
        <v>0</v>
      </c>
      <c r="L67" s="30">
        <f t="shared" si="51"/>
        <v>0</v>
      </c>
      <c r="M67" s="39">
        <f t="shared" si="173"/>
        <v>0</v>
      </c>
      <c r="N67" s="30">
        <f t="shared" si="177"/>
        <v>0</v>
      </c>
      <c r="O67" s="39">
        <f t="shared" si="181"/>
        <v>0</v>
      </c>
      <c r="P67" s="30">
        <f t="shared" si="177"/>
        <v>0</v>
      </c>
      <c r="Q67" s="39">
        <f t="shared" si="181"/>
        <v>0</v>
      </c>
      <c r="R67" s="30">
        <f t="shared" si="177"/>
        <v>0</v>
      </c>
      <c r="S67" s="39">
        <f t="shared" si="181"/>
        <v>0</v>
      </c>
      <c r="T67" s="30">
        <f t="shared" si="177"/>
        <v>0</v>
      </c>
      <c r="U67" s="39">
        <f t="shared" si="181"/>
        <v>0</v>
      </c>
      <c r="V67" s="30">
        <f t="shared" si="177"/>
        <v>0</v>
      </c>
      <c r="W67" s="39">
        <f t="shared" si="181"/>
        <v>0</v>
      </c>
      <c r="X67" s="30">
        <f t="shared" si="177"/>
        <v>0</v>
      </c>
      <c r="Y67" s="39">
        <f t="shared" si="181"/>
        <v>0</v>
      </c>
      <c r="Z67" s="30">
        <f t="shared" si="177"/>
        <v>0</v>
      </c>
      <c r="AA67" s="39">
        <f t="shared" si="181"/>
        <v>0</v>
      </c>
      <c r="AB67" s="30">
        <f t="shared" si="177"/>
        <v>0</v>
      </c>
      <c r="AC67" s="39">
        <f t="shared" si="181"/>
        <v>0</v>
      </c>
      <c r="AD67" s="30">
        <f t="shared" si="178"/>
        <v>0</v>
      </c>
      <c r="AE67" s="39">
        <f t="shared" si="182"/>
        <v>0</v>
      </c>
      <c r="AF67" s="30">
        <f t="shared" si="178"/>
        <v>0</v>
      </c>
      <c r="AG67" s="39">
        <f t="shared" si="182"/>
        <v>0</v>
      </c>
      <c r="AH67" s="30">
        <f t="shared" si="178"/>
        <v>0</v>
      </c>
      <c r="AI67" s="39">
        <f t="shared" si="182"/>
        <v>0</v>
      </c>
      <c r="AJ67" s="30">
        <f t="shared" si="178"/>
        <v>0</v>
      </c>
      <c r="AK67" s="39">
        <f t="shared" si="182"/>
        <v>0</v>
      </c>
      <c r="AL67" s="30">
        <f t="shared" si="178"/>
        <v>0</v>
      </c>
      <c r="AM67" s="39">
        <f t="shared" si="182"/>
        <v>0</v>
      </c>
      <c r="AN67" s="30">
        <f t="shared" si="178"/>
        <v>0</v>
      </c>
      <c r="AO67" s="39">
        <f t="shared" si="182"/>
        <v>0</v>
      </c>
      <c r="AP67" s="30">
        <f t="shared" si="178"/>
        <v>0</v>
      </c>
      <c r="AQ67" s="39">
        <f t="shared" si="182"/>
        <v>0</v>
      </c>
      <c r="AR67" s="30">
        <f t="shared" si="178"/>
        <v>0</v>
      </c>
      <c r="AS67" s="39">
        <f t="shared" si="182"/>
        <v>0</v>
      </c>
      <c r="AT67" s="30">
        <f t="shared" ref="AT67:BH82" si="183">(AS68+AS66)/2</f>
        <v>0</v>
      </c>
      <c r="AU67" s="39">
        <f t="shared" si="179"/>
        <v>0</v>
      </c>
      <c r="AV67" s="30">
        <f t="shared" si="183"/>
        <v>0</v>
      </c>
      <c r="AW67" s="39">
        <f t="shared" si="179"/>
        <v>0</v>
      </c>
      <c r="AX67" s="30">
        <f t="shared" si="183"/>
        <v>0</v>
      </c>
      <c r="AY67" s="39">
        <f t="shared" si="179"/>
        <v>0</v>
      </c>
      <c r="AZ67" s="30">
        <f t="shared" si="183"/>
        <v>9.7666086102814956E-7</v>
      </c>
      <c r="BA67" s="39">
        <f t="shared" si="179"/>
        <v>9.7666086102814956E-7</v>
      </c>
      <c r="BB67" s="30">
        <f t="shared" si="183"/>
        <v>1.1936966079232938E-6</v>
      </c>
      <c r="BC67" s="39">
        <f t="shared" si="180"/>
        <v>1.1936966079232938E-6</v>
      </c>
      <c r="BD67" s="30">
        <f t="shared" si="183"/>
        <v>7.0482358804198093E-6</v>
      </c>
      <c r="BE67" s="39">
        <f t="shared" si="180"/>
        <v>7.0482358804198093E-6</v>
      </c>
      <c r="BF67" s="30">
        <f t="shared" si="183"/>
        <v>8.3721539364801896E-6</v>
      </c>
      <c r="BG67" s="39">
        <f t="shared" si="180"/>
        <v>8.3721539364801896E-6</v>
      </c>
      <c r="BH67" s="30">
        <f t="shared" si="183"/>
        <v>2.8093920962158335E-5</v>
      </c>
      <c r="BI67" s="39">
        <f t="shared" si="180"/>
        <v>2.8093920962158335E-5</v>
      </c>
    </row>
    <row r="68" spans="2:61" x14ac:dyDescent="0.3">
      <c r="B68" s="34"/>
      <c r="C68" s="14">
        <f t="shared" si="174"/>
        <v>4.8000000000000016</v>
      </c>
      <c r="D68" s="35" t="s">
        <v>37</v>
      </c>
      <c r="E68" s="36">
        <f t="shared" si="175"/>
        <v>-4.8000000000000016</v>
      </c>
      <c r="F68" s="28">
        <v>0</v>
      </c>
      <c r="G68" s="38">
        <v>0</v>
      </c>
      <c r="H68" s="5">
        <f t="shared" si="112"/>
        <v>0</v>
      </c>
      <c r="I68" s="38">
        <f t="shared" si="171"/>
        <v>0</v>
      </c>
      <c r="J68" s="28">
        <f t="shared" si="86"/>
        <v>0</v>
      </c>
      <c r="K68" s="38">
        <f t="shared" si="172"/>
        <v>0</v>
      </c>
      <c r="L68" s="30">
        <f t="shared" si="51"/>
        <v>0</v>
      </c>
      <c r="M68" s="39">
        <f t="shared" si="173"/>
        <v>0</v>
      </c>
      <c r="N68" s="30">
        <f t="shared" ref="N68:AB83" si="184">(M69+M67)/2</f>
        <v>0</v>
      </c>
      <c r="O68" s="39">
        <f t="shared" si="181"/>
        <v>0</v>
      </c>
      <c r="P68" s="30">
        <f t="shared" si="184"/>
        <v>0</v>
      </c>
      <c r="Q68" s="39">
        <f t="shared" si="181"/>
        <v>0</v>
      </c>
      <c r="R68" s="30">
        <f t="shared" si="184"/>
        <v>0</v>
      </c>
      <c r="S68" s="39">
        <f t="shared" si="181"/>
        <v>0</v>
      </c>
      <c r="T68" s="30">
        <f t="shared" si="184"/>
        <v>0</v>
      </c>
      <c r="U68" s="39">
        <f t="shared" si="181"/>
        <v>0</v>
      </c>
      <c r="V68" s="30">
        <f t="shared" si="184"/>
        <v>0</v>
      </c>
      <c r="W68" s="39">
        <f t="shared" si="181"/>
        <v>0</v>
      </c>
      <c r="X68" s="30">
        <f t="shared" si="184"/>
        <v>0</v>
      </c>
      <c r="Y68" s="39">
        <f t="shared" si="181"/>
        <v>0</v>
      </c>
      <c r="Z68" s="30">
        <f t="shared" si="184"/>
        <v>0</v>
      </c>
      <c r="AA68" s="39">
        <f t="shared" si="181"/>
        <v>0</v>
      </c>
      <c r="AB68" s="30">
        <f t="shared" si="184"/>
        <v>0</v>
      </c>
      <c r="AC68" s="39">
        <f t="shared" si="181"/>
        <v>0</v>
      </c>
      <c r="AD68" s="30">
        <f t="shared" ref="AD68:AR83" si="185">(AC69+AC67)/2</f>
        <v>0</v>
      </c>
      <c r="AE68" s="39">
        <f t="shared" si="182"/>
        <v>0</v>
      </c>
      <c r="AF68" s="30">
        <f t="shared" si="185"/>
        <v>0</v>
      </c>
      <c r="AG68" s="39">
        <f t="shared" si="182"/>
        <v>0</v>
      </c>
      <c r="AH68" s="30">
        <f t="shared" si="185"/>
        <v>0</v>
      </c>
      <c r="AI68" s="39">
        <f t="shared" si="182"/>
        <v>0</v>
      </c>
      <c r="AJ68" s="30">
        <f t="shared" si="185"/>
        <v>0</v>
      </c>
      <c r="AK68" s="39">
        <f t="shared" si="182"/>
        <v>0</v>
      </c>
      <c r="AL68" s="30">
        <f t="shared" si="185"/>
        <v>0</v>
      </c>
      <c r="AM68" s="39">
        <f t="shared" si="182"/>
        <v>0</v>
      </c>
      <c r="AN68" s="30">
        <f t="shared" si="185"/>
        <v>0</v>
      </c>
      <c r="AO68" s="39">
        <f t="shared" si="182"/>
        <v>0</v>
      </c>
      <c r="AP68" s="30">
        <f t="shared" si="185"/>
        <v>0</v>
      </c>
      <c r="AQ68" s="39">
        <f t="shared" si="182"/>
        <v>0</v>
      </c>
      <c r="AR68" s="30">
        <f t="shared" si="185"/>
        <v>0</v>
      </c>
      <c r="AS68" s="39">
        <f t="shared" si="182"/>
        <v>0</v>
      </c>
      <c r="AT68" s="30">
        <f t="shared" si="183"/>
        <v>0</v>
      </c>
      <c r="AU68" s="39">
        <f t="shared" si="179"/>
        <v>0</v>
      </c>
      <c r="AV68" s="30">
        <f t="shared" si="183"/>
        <v>0</v>
      </c>
      <c r="AW68" s="39">
        <f t="shared" si="179"/>
        <v>0</v>
      </c>
      <c r="AX68" s="30">
        <f t="shared" si="183"/>
        <v>0</v>
      </c>
      <c r="AY68" s="39">
        <f t="shared" si="179"/>
        <v>0</v>
      </c>
      <c r="AZ68" s="30">
        <f t="shared" si="183"/>
        <v>0</v>
      </c>
      <c r="BA68" s="39">
        <f t="shared" si="179"/>
        <v>0</v>
      </c>
      <c r="BB68" s="30">
        <f t="shared" si="183"/>
        <v>4.8833043051407478E-7</v>
      </c>
      <c r="BC68" s="39">
        <f t="shared" si="180"/>
        <v>4.8833043051407478E-7</v>
      </c>
      <c r="BD68" s="30">
        <f t="shared" si="183"/>
        <v>5.9684830396164692E-7</v>
      </c>
      <c r="BE68" s="39">
        <f t="shared" si="180"/>
        <v>5.9684830396164692E-7</v>
      </c>
      <c r="BF68" s="30">
        <f t="shared" si="183"/>
        <v>3.6462005478384232E-6</v>
      </c>
      <c r="BG68" s="39">
        <f t="shared" si="180"/>
        <v>3.6462005478384232E-6</v>
      </c>
      <c r="BH68" s="30">
        <f t="shared" si="183"/>
        <v>4.3352890442305068E-6</v>
      </c>
      <c r="BI68" s="39">
        <f t="shared" si="180"/>
        <v>4.3352890442305068E-6</v>
      </c>
    </row>
    <row r="69" spans="2:61" x14ac:dyDescent="0.3">
      <c r="B69" s="34"/>
      <c r="C69" s="14">
        <f t="shared" si="174"/>
        <v>5.0000000000000018</v>
      </c>
      <c r="D69" s="35" t="s">
        <v>37</v>
      </c>
      <c r="E69" s="36">
        <f t="shared" si="175"/>
        <v>-5.0000000000000018</v>
      </c>
      <c r="F69" s="28">
        <v>0</v>
      </c>
      <c r="G69" s="38">
        <v>0</v>
      </c>
      <c r="H69" s="5">
        <f t="shared" si="112"/>
        <v>0</v>
      </c>
      <c r="I69" s="38">
        <f t="shared" si="171"/>
        <v>0</v>
      </c>
      <c r="J69" s="28">
        <f t="shared" si="86"/>
        <v>0</v>
      </c>
      <c r="K69" s="38">
        <f t="shared" si="172"/>
        <v>0</v>
      </c>
      <c r="L69" s="30">
        <f t="shared" si="51"/>
        <v>0</v>
      </c>
      <c r="M69" s="39">
        <f t="shared" si="173"/>
        <v>0</v>
      </c>
      <c r="N69" s="30">
        <f t="shared" si="184"/>
        <v>0</v>
      </c>
      <c r="O69" s="39">
        <f t="shared" si="181"/>
        <v>0</v>
      </c>
      <c r="P69" s="30">
        <f t="shared" si="184"/>
        <v>0</v>
      </c>
      <c r="Q69" s="39">
        <f t="shared" si="181"/>
        <v>0</v>
      </c>
      <c r="R69" s="30">
        <f t="shared" si="184"/>
        <v>0</v>
      </c>
      <c r="S69" s="39">
        <f t="shared" si="181"/>
        <v>0</v>
      </c>
      <c r="T69" s="30">
        <f t="shared" si="184"/>
        <v>0</v>
      </c>
      <c r="U69" s="39">
        <f t="shared" si="181"/>
        <v>0</v>
      </c>
      <c r="V69" s="30">
        <f t="shared" si="184"/>
        <v>0</v>
      </c>
      <c r="W69" s="39">
        <f t="shared" si="181"/>
        <v>0</v>
      </c>
      <c r="X69" s="30">
        <f t="shared" si="184"/>
        <v>0</v>
      </c>
      <c r="Y69" s="39">
        <f t="shared" si="181"/>
        <v>0</v>
      </c>
      <c r="Z69" s="30">
        <f t="shared" si="184"/>
        <v>0</v>
      </c>
      <c r="AA69" s="39">
        <f t="shared" si="181"/>
        <v>0</v>
      </c>
      <c r="AB69" s="30">
        <f t="shared" si="184"/>
        <v>0</v>
      </c>
      <c r="AC69" s="39">
        <f t="shared" si="181"/>
        <v>0</v>
      </c>
      <c r="AD69" s="30">
        <f t="shared" si="185"/>
        <v>0</v>
      </c>
      <c r="AE69" s="39">
        <f t="shared" si="182"/>
        <v>0</v>
      </c>
      <c r="AF69" s="30">
        <f t="shared" si="185"/>
        <v>0</v>
      </c>
      <c r="AG69" s="39">
        <f t="shared" si="182"/>
        <v>0</v>
      </c>
      <c r="AH69" s="30">
        <f t="shared" si="185"/>
        <v>0</v>
      </c>
      <c r="AI69" s="39">
        <f t="shared" si="182"/>
        <v>0</v>
      </c>
      <c r="AJ69" s="30">
        <f t="shared" si="185"/>
        <v>0</v>
      </c>
      <c r="AK69" s="39">
        <f t="shared" si="182"/>
        <v>0</v>
      </c>
      <c r="AL69" s="30">
        <f t="shared" si="185"/>
        <v>0</v>
      </c>
      <c r="AM69" s="39">
        <f t="shared" si="182"/>
        <v>0</v>
      </c>
      <c r="AN69" s="30">
        <f t="shared" si="185"/>
        <v>0</v>
      </c>
      <c r="AO69" s="39">
        <f t="shared" si="182"/>
        <v>0</v>
      </c>
      <c r="AP69" s="30">
        <f t="shared" si="185"/>
        <v>0</v>
      </c>
      <c r="AQ69" s="39">
        <f t="shared" si="182"/>
        <v>0</v>
      </c>
      <c r="AR69" s="30">
        <f t="shared" si="185"/>
        <v>0</v>
      </c>
      <c r="AS69" s="39">
        <f t="shared" si="182"/>
        <v>0</v>
      </c>
      <c r="AT69" s="30">
        <f t="shared" si="183"/>
        <v>0</v>
      </c>
      <c r="AU69" s="39">
        <f t="shared" si="179"/>
        <v>0</v>
      </c>
      <c r="AV69" s="30">
        <f t="shared" si="183"/>
        <v>0</v>
      </c>
      <c r="AW69" s="39">
        <f t="shared" si="179"/>
        <v>0</v>
      </c>
      <c r="AX69" s="30">
        <f t="shared" si="183"/>
        <v>0</v>
      </c>
      <c r="AY69" s="39">
        <f t="shared" si="179"/>
        <v>0</v>
      </c>
      <c r="AZ69" s="30">
        <f t="shared" si="183"/>
        <v>0</v>
      </c>
      <c r="BA69" s="39">
        <f t="shared" si="179"/>
        <v>0</v>
      </c>
      <c r="BB69" s="30">
        <f t="shared" si="183"/>
        <v>0</v>
      </c>
      <c r="BC69" s="39">
        <f t="shared" si="180"/>
        <v>0</v>
      </c>
      <c r="BD69" s="30">
        <f t="shared" si="183"/>
        <v>2.4416521525703739E-7</v>
      </c>
      <c r="BE69" s="39">
        <f t="shared" si="180"/>
        <v>2.4416521525703739E-7</v>
      </c>
      <c r="BF69" s="30">
        <f t="shared" si="183"/>
        <v>2.9842415198082346E-7</v>
      </c>
      <c r="BG69" s="39">
        <f t="shared" si="180"/>
        <v>2.9842415198082346E-7</v>
      </c>
      <c r="BH69" s="30">
        <f t="shared" si="183"/>
        <v>1.8841415777334709E-6</v>
      </c>
      <c r="BI69" s="39">
        <f t="shared" si="180"/>
        <v>1.8841415777334709E-6</v>
      </c>
    </row>
    <row r="70" spans="2:61" x14ac:dyDescent="0.3">
      <c r="B70" s="34"/>
      <c r="C70" s="14">
        <f t="shared" si="174"/>
        <v>5.200000000000002</v>
      </c>
      <c r="D70" s="35" t="s">
        <v>37</v>
      </c>
      <c r="E70" s="36">
        <f t="shared" si="175"/>
        <v>-5.200000000000002</v>
      </c>
      <c r="F70" s="28">
        <v>0</v>
      </c>
      <c r="G70" s="38">
        <v>0</v>
      </c>
      <c r="H70" s="5">
        <f t="shared" si="112"/>
        <v>0</v>
      </c>
      <c r="I70" s="38">
        <f t="shared" si="171"/>
        <v>0</v>
      </c>
      <c r="J70" s="28">
        <f t="shared" si="86"/>
        <v>0</v>
      </c>
      <c r="K70" s="38">
        <f t="shared" si="172"/>
        <v>0</v>
      </c>
      <c r="L70" s="30">
        <f t="shared" si="51"/>
        <v>0</v>
      </c>
      <c r="M70" s="39">
        <f t="shared" si="173"/>
        <v>0</v>
      </c>
      <c r="N70" s="30">
        <f t="shared" si="184"/>
        <v>0</v>
      </c>
      <c r="O70" s="39">
        <f t="shared" si="181"/>
        <v>0</v>
      </c>
      <c r="P70" s="30">
        <f t="shared" si="184"/>
        <v>0</v>
      </c>
      <c r="Q70" s="39">
        <f t="shared" si="181"/>
        <v>0</v>
      </c>
      <c r="R70" s="30">
        <f t="shared" si="184"/>
        <v>0</v>
      </c>
      <c r="S70" s="39">
        <f t="shared" si="181"/>
        <v>0</v>
      </c>
      <c r="T70" s="30">
        <f t="shared" si="184"/>
        <v>0</v>
      </c>
      <c r="U70" s="39">
        <f t="shared" si="181"/>
        <v>0</v>
      </c>
      <c r="V70" s="30">
        <f t="shared" si="184"/>
        <v>0</v>
      </c>
      <c r="W70" s="39">
        <f t="shared" si="181"/>
        <v>0</v>
      </c>
      <c r="X70" s="30">
        <f t="shared" si="184"/>
        <v>0</v>
      </c>
      <c r="Y70" s="39">
        <f t="shared" si="181"/>
        <v>0</v>
      </c>
      <c r="Z70" s="30">
        <f t="shared" si="184"/>
        <v>0</v>
      </c>
      <c r="AA70" s="39">
        <f t="shared" si="181"/>
        <v>0</v>
      </c>
      <c r="AB70" s="30">
        <f t="shared" si="184"/>
        <v>0</v>
      </c>
      <c r="AC70" s="39">
        <f t="shared" si="181"/>
        <v>0</v>
      </c>
      <c r="AD70" s="30">
        <f t="shared" si="185"/>
        <v>0</v>
      </c>
      <c r="AE70" s="39">
        <f t="shared" si="182"/>
        <v>0</v>
      </c>
      <c r="AF70" s="30">
        <f t="shared" si="185"/>
        <v>0</v>
      </c>
      <c r="AG70" s="39">
        <f t="shared" si="182"/>
        <v>0</v>
      </c>
      <c r="AH70" s="30">
        <f t="shared" si="185"/>
        <v>0</v>
      </c>
      <c r="AI70" s="39">
        <f t="shared" si="182"/>
        <v>0</v>
      </c>
      <c r="AJ70" s="30">
        <f t="shared" si="185"/>
        <v>0</v>
      </c>
      <c r="AK70" s="39">
        <f t="shared" si="182"/>
        <v>0</v>
      </c>
      <c r="AL70" s="30">
        <f t="shared" si="185"/>
        <v>0</v>
      </c>
      <c r="AM70" s="39">
        <f t="shared" si="182"/>
        <v>0</v>
      </c>
      <c r="AN70" s="30">
        <f t="shared" si="185"/>
        <v>0</v>
      </c>
      <c r="AO70" s="39">
        <f t="shared" si="182"/>
        <v>0</v>
      </c>
      <c r="AP70" s="30">
        <f t="shared" si="185"/>
        <v>0</v>
      </c>
      <c r="AQ70" s="39">
        <f t="shared" si="182"/>
        <v>0</v>
      </c>
      <c r="AR70" s="30">
        <f t="shared" si="185"/>
        <v>0</v>
      </c>
      <c r="AS70" s="39">
        <f t="shared" si="182"/>
        <v>0</v>
      </c>
      <c r="AT70" s="30">
        <f t="shared" si="183"/>
        <v>0</v>
      </c>
      <c r="AU70" s="39">
        <f t="shared" si="179"/>
        <v>0</v>
      </c>
      <c r="AV70" s="30">
        <f t="shared" si="183"/>
        <v>0</v>
      </c>
      <c r="AW70" s="39">
        <f t="shared" si="179"/>
        <v>0</v>
      </c>
      <c r="AX70" s="30">
        <f t="shared" si="183"/>
        <v>0</v>
      </c>
      <c r="AY70" s="39">
        <f t="shared" si="179"/>
        <v>0</v>
      </c>
      <c r="AZ70" s="30">
        <f t="shared" si="183"/>
        <v>0</v>
      </c>
      <c r="BA70" s="39">
        <f t="shared" si="179"/>
        <v>0</v>
      </c>
      <c r="BB70" s="30">
        <f t="shared" si="183"/>
        <v>0</v>
      </c>
      <c r="BC70" s="39">
        <f t="shared" si="180"/>
        <v>0</v>
      </c>
      <c r="BD70" s="30">
        <f t="shared" si="183"/>
        <v>0</v>
      </c>
      <c r="BE70" s="39">
        <f t="shared" si="180"/>
        <v>0</v>
      </c>
      <c r="BF70" s="30">
        <f t="shared" si="183"/>
        <v>1.220826076285187E-7</v>
      </c>
      <c r="BG70" s="39">
        <f t="shared" si="180"/>
        <v>1.220826076285187E-7</v>
      </c>
      <c r="BH70" s="30">
        <f t="shared" si="183"/>
        <v>1.4921207599041173E-7</v>
      </c>
      <c r="BI70" s="39">
        <f t="shared" si="180"/>
        <v>1.4921207599041173E-7</v>
      </c>
    </row>
    <row r="71" spans="2:61" x14ac:dyDescent="0.3">
      <c r="B71" s="34"/>
      <c r="C71" s="14">
        <f t="shared" si="174"/>
        <v>5.4000000000000021</v>
      </c>
      <c r="D71" s="35" t="s">
        <v>37</v>
      </c>
      <c r="E71" s="36">
        <f t="shared" si="175"/>
        <v>-5.4000000000000021</v>
      </c>
      <c r="F71" s="28">
        <v>0</v>
      </c>
      <c r="G71" s="38">
        <v>0</v>
      </c>
      <c r="H71" s="5">
        <f t="shared" si="112"/>
        <v>0</v>
      </c>
      <c r="I71" s="38">
        <f t="shared" si="171"/>
        <v>0</v>
      </c>
      <c r="J71" s="28">
        <f t="shared" si="86"/>
        <v>0</v>
      </c>
      <c r="K71" s="38">
        <f t="shared" si="172"/>
        <v>0</v>
      </c>
      <c r="L71" s="30">
        <f t="shared" ref="L71:Z84" si="186">(K72+K70)/2</f>
        <v>0</v>
      </c>
      <c r="M71" s="39">
        <f t="shared" si="173"/>
        <v>0</v>
      </c>
      <c r="N71" s="30">
        <f t="shared" si="186"/>
        <v>0</v>
      </c>
      <c r="O71" s="39">
        <f t="shared" si="181"/>
        <v>0</v>
      </c>
      <c r="P71" s="30">
        <f t="shared" si="186"/>
        <v>0</v>
      </c>
      <c r="Q71" s="39">
        <f t="shared" si="181"/>
        <v>0</v>
      </c>
      <c r="R71" s="30">
        <f t="shared" si="186"/>
        <v>0</v>
      </c>
      <c r="S71" s="39">
        <f t="shared" si="181"/>
        <v>0</v>
      </c>
      <c r="T71" s="30">
        <f t="shared" si="186"/>
        <v>0</v>
      </c>
      <c r="U71" s="39">
        <f t="shared" si="181"/>
        <v>0</v>
      </c>
      <c r="V71" s="30">
        <f t="shared" si="186"/>
        <v>0</v>
      </c>
      <c r="W71" s="39">
        <f t="shared" si="181"/>
        <v>0</v>
      </c>
      <c r="X71" s="30">
        <f t="shared" si="186"/>
        <v>0</v>
      </c>
      <c r="Y71" s="39">
        <f t="shared" si="181"/>
        <v>0</v>
      </c>
      <c r="Z71" s="30">
        <f t="shared" si="186"/>
        <v>0</v>
      </c>
      <c r="AA71" s="39">
        <f t="shared" si="181"/>
        <v>0</v>
      </c>
      <c r="AB71" s="30">
        <f t="shared" si="184"/>
        <v>0</v>
      </c>
      <c r="AC71" s="39">
        <f t="shared" si="181"/>
        <v>0</v>
      </c>
      <c r="AD71" s="30">
        <f t="shared" si="185"/>
        <v>0</v>
      </c>
      <c r="AE71" s="39">
        <f t="shared" si="182"/>
        <v>0</v>
      </c>
      <c r="AF71" s="30">
        <f t="shared" si="185"/>
        <v>0</v>
      </c>
      <c r="AG71" s="39">
        <f t="shared" si="182"/>
        <v>0</v>
      </c>
      <c r="AH71" s="30">
        <f t="shared" si="185"/>
        <v>0</v>
      </c>
      <c r="AI71" s="39">
        <f t="shared" si="182"/>
        <v>0</v>
      </c>
      <c r="AJ71" s="30">
        <f t="shared" si="185"/>
        <v>0</v>
      </c>
      <c r="AK71" s="39">
        <f t="shared" si="182"/>
        <v>0</v>
      </c>
      <c r="AL71" s="30">
        <f t="shared" si="185"/>
        <v>0</v>
      </c>
      <c r="AM71" s="39">
        <f t="shared" si="182"/>
        <v>0</v>
      </c>
      <c r="AN71" s="30">
        <f t="shared" si="185"/>
        <v>0</v>
      </c>
      <c r="AO71" s="39">
        <f t="shared" si="182"/>
        <v>0</v>
      </c>
      <c r="AP71" s="30">
        <f t="shared" si="185"/>
        <v>0</v>
      </c>
      <c r="AQ71" s="39">
        <f t="shared" si="182"/>
        <v>0</v>
      </c>
      <c r="AR71" s="30">
        <f t="shared" si="185"/>
        <v>0</v>
      </c>
      <c r="AS71" s="39">
        <f t="shared" si="182"/>
        <v>0</v>
      </c>
      <c r="AT71" s="30">
        <f t="shared" si="183"/>
        <v>0</v>
      </c>
      <c r="AU71" s="39">
        <f t="shared" si="179"/>
        <v>0</v>
      </c>
      <c r="AV71" s="30">
        <f t="shared" si="183"/>
        <v>0</v>
      </c>
      <c r="AW71" s="39">
        <f t="shared" si="179"/>
        <v>0</v>
      </c>
      <c r="AX71" s="30">
        <f t="shared" si="183"/>
        <v>0</v>
      </c>
      <c r="AY71" s="39">
        <f t="shared" si="179"/>
        <v>0</v>
      </c>
      <c r="AZ71" s="30">
        <f t="shared" si="183"/>
        <v>0</v>
      </c>
      <c r="BA71" s="39">
        <f t="shared" si="179"/>
        <v>0</v>
      </c>
      <c r="BB71" s="30">
        <f t="shared" si="183"/>
        <v>0</v>
      </c>
      <c r="BC71" s="39">
        <f t="shared" si="180"/>
        <v>0</v>
      </c>
      <c r="BD71" s="30">
        <f t="shared" si="183"/>
        <v>0</v>
      </c>
      <c r="BE71" s="39">
        <f t="shared" si="180"/>
        <v>0</v>
      </c>
      <c r="BF71" s="30">
        <f t="shared" si="183"/>
        <v>0</v>
      </c>
      <c r="BG71" s="39">
        <f t="shared" si="180"/>
        <v>0</v>
      </c>
      <c r="BH71" s="30">
        <f t="shared" si="183"/>
        <v>6.1041303814259348E-8</v>
      </c>
      <c r="BI71" s="39">
        <f t="shared" si="180"/>
        <v>6.1041303814259348E-8</v>
      </c>
    </row>
    <row r="72" spans="2:61" x14ac:dyDescent="0.3">
      <c r="B72" s="34"/>
      <c r="C72" s="14">
        <f t="shared" si="174"/>
        <v>5.6000000000000023</v>
      </c>
      <c r="D72" s="35" t="s">
        <v>37</v>
      </c>
      <c r="E72" s="36">
        <f t="shared" si="175"/>
        <v>-5.6000000000000023</v>
      </c>
      <c r="F72" s="28">
        <v>0</v>
      </c>
      <c r="G72" s="38">
        <v>0</v>
      </c>
      <c r="H72" s="5">
        <f t="shared" si="112"/>
        <v>0</v>
      </c>
      <c r="I72" s="38">
        <f t="shared" si="171"/>
        <v>0</v>
      </c>
      <c r="J72" s="28">
        <f t="shared" si="86"/>
        <v>0</v>
      </c>
      <c r="K72" s="38">
        <f t="shared" si="172"/>
        <v>0</v>
      </c>
      <c r="L72" s="30">
        <f t="shared" si="186"/>
        <v>0</v>
      </c>
      <c r="M72" s="39">
        <f t="shared" si="173"/>
        <v>0</v>
      </c>
      <c r="N72" s="30">
        <f t="shared" si="186"/>
        <v>0</v>
      </c>
      <c r="O72" s="39">
        <f t="shared" si="181"/>
        <v>0</v>
      </c>
      <c r="P72" s="30">
        <f t="shared" si="186"/>
        <v>0</v>
      </c>
      <c r="Q72" s="39">
        <f t="shared" si="181"/>
        <v>0</v>
      </c>
      <c r="R72" s="30">
        <f t="shared" si="186"/>
        <v>0</v>
      </c>
      <c r="S72" s="39">
        <f t="shared" si="181"/>
        <v>0</v>
      </c>
      <c r="T72" s="30">
        <f t="shared" si="186"/>
        <v>0</v>
      </c>
      <c r="U72" s="39">
        <f t="shared" si="181"/>
        <v>0</v>
      </c>
      <c r="V72" s="30">
        <f t="shared" si="186"/>
        <v>0</v>
      </c>
      <c r="W72" s="39">
        <f t="shared" si="181"/>
        <v>0</v>
      </c>
      <c r="X72" s="30">
        <f t="shared" si="186"/>
        <v>0</v>
      </c>
      <c r="Y72" s="39">
        <f t="shared" si="181"/>
        <v>0</v>
      </c>
      <c r="Z72" s="30">
        <f t="shared" si="186"/>
        <v>0</v>
      </c>
      <c r="AA72" s="39">
        <f t="shared" si="181"/>
        <v>0</v>
      </c>
      <c r="AB72" s="30">
        <f t="shared" si="184"/>
        <v>0</v>
      </c>
      <c r="AC72" s="39">
        <f t="shared" si="181"/>
        <v>0</v>
      </c>
      <c r="AD72" s="30">
        <f t="shared" si="185"/>
        <v>0</v>
      </c>
      <c r="AE72" s="39">
        <f t="shared" si="182"/>
        <v>0</v>
      </c>
      <c r="AF72" s="30">
        <f t="shared" si="185"/>
        <v>0</v>
      </c>
      <c r="AG72" s="39">
        <f t="shared" si="182"/>
        <v>0</v>
      </c>
      <c r="AH72" s="30">
        <f t="shared" si="185"/>
        <v>0</v>
      </c>
      <c r="AI72" s="39">
        <f t="shared" si="182"/>
        <v>0</v>
      </c>
      <c r="AJ72" s="30">
        <f t="shared" si="185"/>
        <v>0</v>
      </c>
      <c r="AK72" s="39">
        <f t="shared" si="182"/>
        <v>0</v>
      </c>
      <c r="AL72" s="30">
        <f t="shared" si="185"/>
        <v>0</v>
      </c>
      <c r="AM72" s="39">
        <f t="shared" si="182"/>
        <v>0</v>
      </c>
      <c r="AN72" s="30">
        <f t="shared" si="185"/>
        <v>0</v>
      </c>
      <c r="AO72" s="39">
        <f t="shared" si="182"/>
        <v>0</v>
      </c>
      <c r="AP72" s="30">
        <f t="shared" si="185"/>
        <v>0</v>
      </c>
      <c r="AQ72" s="39">
        <f t="shared" si="182"/>
        <v>0</v>
      </c>
      <c r="AR72" s="30">
        <f t="shared" si="185"/>
        <v>0</v>
      </c>
      <c r="AS72" s="39">
        <f t="shared" si="182"/>
        <v>0</v>
      </c>
      <c r="AT72" s="30">
        <f t="shared" si="183"/>
        <v>0</v>
      </c>
      <c r="AU72" s="39">
        <f t="shared" si="179"/>
        <v>0</v>
      </c>
      <c r="AV72" s="30">
        <f t="shared" si="183"/>
        <v>0</v>
      </c>
      <c r="AW72" s="39">
        <f t="shared" si="179"/>
        <v>0</v>
      </c>
      <c r="AX72" s="30">
        <f t="shared" si="183"/>
        <v>0</v>
      </c>
      <c r="AY72" s="39">
        <f t="shared" si="179"/>
        <v>0</v>
      </c>
      <c r="AZ72" s="30">
        <f t="shared" si="183"/>
        <v>0</v>
      </c>
      <c r="BA72" s="39">
        <f t="shared" si="179"/>
        <v>0</v>
      </c>
      <c r="BB72" s="30">
        <f t="shared" si="183"/>
        <v>0</v>
      </c>
      <c r="BC72" s="39">
        <f t="shared" si="180"/>
        <v>0</v>
      </c>
      <c r="BD72" s="30">
        <f t="shared" si="183"/>
        <v>0</v>
      </c>
      <c r="BE72" s="39">
        <f t="shared" si="180"/>
        <v>0</v>
      </c>
      <c r="BF72" s="30">
        <f t="shared" si="183"/>
        <v>0</v>
      </c>
      <c r="BG72" s="39">
        <f t="shared" si="180"/>
        <v>0</v>
      </c>
      <c r="BH72" s="30">
        <f t="shared" si="183"/>
        <v>0</v>
      </c>
      <c r="BI72" s="39">
        <f t="shared" si="180"/>
        <v>0</v>
      </c>
    </row>
    <row r="73" spans="2:61" x14ac:dyDescent="0.3">
      <c r="B73" s="34"/>
      <c r="C73" s="14">
        <f t="shared" si="174"/>
        <v>5.8000000000000025</v>
      </c>
      <c r="D73" s="35" t="s">
        <v>37</v>
      </c>
      <c r="E73" s="36">
        <f t="shared" si="175"/>
        <v>-5.8000000000000025</v>
      </c>
      <c r="F73" s="28">
        <v>0</v>
      </c>
      <c r="G73" s="38">
        <v>0</v>
      </c>
      <c r="H73" s="5">
        <f t="shared" si="112"/>
        <v>0</v>
      </c>
      <c r="I73" s="38">
        <f t="shared" si="171"/>
        <v>0</v>
      </c>
      <c r="J73" s="28">
        <f t="shared" si="86"/>
        <v>0</v>
      </c>
      <c r="K73" s="38">
        <f t="shared" si="172"/>
        <v>0</v>
      </c>
      <c r="L73" s="30">
        <f t="shared" si="186"/>
        <v>0</v>
      </c>
      <c r="M73" s="39">
        <f t="shared" si="173"/>
        <v>0</v>
      </c>
      <c r="N73" s="30">
        <f t="shared" si="186"/>
        <v>0</v>
      </c>
      <c r="O73" s="39">
        <f t="shared" si="181"/>
        <v>0</v>
      </c>
      <c r="P73" s="30">
        <f t="shared" si="186"/>
        <v>0</v>
      </c>
      <c r="Q73" s="39">
        <f t="shared" si="181"/>
        <v>0</v>
      </c>
      <c r="R73" s="30">
        <f t="shared" si="186"/>
        <v>0</v>
      </c>
      <c r="S73" s="39">
        <f t="shared" si="181"/>
        <v>0</v>
      </c>
      <c r="T73" s="30">
        <f t="shared" si="186"/>
        <v>0</v>
      </c>
      <c r="U73" s="39">
        <f t="shared" si="181"/>
        <v>0</v>
      </c>
      <c r="V73" s="30">
        <f t="shared" si="186"/>
        <v>0</v>
      </c>
      <c r="W73" s="39">
        <f t="shared" si="181"/>
        <v>0</v>
      </c>
      <c r="X73" s="30">
        <f t="shared" si="186"/>
        <v>0</v>
      </c>
      <c r="Y73" s="39">
        <f t="shared" si="181"/>
        <v>0</v>
      </c>
      <c r="Z73" s="30">
        <f t="shared" si="186"/>
        <v>0</v>
      </c>
      <c r="AA73" s="39">
        <f t="shared" si="181"/>
        <v>0</v>
      </c>
      <c r="AB73" s="30">
        <f t="shared" si="184"/>
        <v>0</v>
      </c>
      <c r="AC73" s="39">
        <f t="shared" si="181"/>
        <v>0</v>
      </c>
      <c r="AD73" s="30">
        <f t="shared" si="185"/>
        <v>0</v>
      </c>
      <c r="AE73" s="39">
        <f t="shared" si="182"/>
        <v>0</v>
      </c>
      <c r="AF73" s="30">
        <f t="shared" si="185"/>
        <v>0</v>
      </c>
      <c r="AG73" s="39">
        <f t="shared" si="182"/>
        <v>0</v>
      </c>
      <c r="AH73" s="30">
        <f t="shared" si="185"/>
        <v>0</v>
      </c>
      <c r="AI73" s="39">
        <f t="shared" si="182"/>
        <v>0</v>
      </c>
      <c r="AJ73" s="30">
        <f t="shared" si="185"/>
        <v>0</v>
      </c>
      <c r="AK73" s="39">
        <f t="shared" si="182"/>
        <v>0</v>
      </c>
      <c r="AL73" s="30">
        <f t="shared" si="185"/>
        <v>0</v>
      </c>
      <c r="AM73" s="39">
        <f t="shared" si="182"/>
        <v>0</v>
      </c>
      <c r="AN73" s="30">
        <f t="shared" si="185"/>
        <v>0</v>
      </c>
      <c r="AO73" s="39">
        <f t="shared" si="182"/>
        <v>0</v>
      </c>
      <c r="AP73" s="30">
        <f t="shared" si="185"/>
        <v>0</v>
      </c>
      <c r="AQ73" s="39">
        <f t="shared" si="182"/>
        <v>0</v>
      </c>
      <c r="AR73" s="30">
        <f t="shared" si="185"/>
        <v>0</v>
      </c>
      <c r="AS73" s="39">
        <f t="shared" si="182"/>
        <v>0</v>
      </c>
      <c r="AT73" s="30">
        <f t="shared" si="183"/>
        <v>0</v>
      </c>
      <c r="AU73" s="39">
        <f t="shared" si="179"/>
        <v>0</v>
      </c>
      <c r="AV73" s="30">
        <f t="shared" si="183"/>
        <v>0</v>
      </c>
      <c r="AW73" s="39">
        <f t="shared" si="179"/>
        <v>0</v>
      </c>
      <c r="AX73" s="30">
        <f t="shared" si="183"/>
        <v>0</v>
      </c>
      <c r="AY73" s="39">
        <f t="shared" si="179"/>
        <v>0</v>
      </c>
      <c r="AZ73" s="30">
        <f t="shared" si="183"/>
        <v>0</v>
      </c>
      <c r="BA73" s="39">
        <f t="shared" si="179"/>
        <v>0</v>
      </c>
      <c r="BB73" s="30">
        <f t="shared" si="183"/>
        <v>0</v>
      </c>
      <c r="BC73" s="39">
        <f t="shared" si="180"/>
        <v>0</v>
      </c>
      <c r="BD73" s="30">
        <f t="shared" si="183"/>
        <v>0</v>
      </c>
      <c r="BE73" s="39">
        <f t="shared" si="180"/>
        <v>0</v>
      </c>
      <c r="BF73" s="30">
        <f t="shared" si="183"/>
        <v>0</v>
      </c>
      <c r="BG73" s="39">
        <f t="shared" si="180"/>
        <v>0</v>
      </c>
      <c r="BH73" s="30">
        <f t="shared" si="183"/>
        <v>0</v>
      </c>
      <c r="BI73" s="39">
        <f t="shared" si="180"/>
        <v>0</v>
      </c>
    </row>
    <row r="74" spans="2:61" x14ac:dyDescent="0.3">
      <c r="B74" s="34"/>
      <c r="C74" s="14">
        <f t="shared" si="174"/>
        <v>6.0000000000000027</v>
      </c>
      <c r="D74" s="35" t="s">
        <v>37</v>
      </c>
      <c r="E74" s="36">
        <f t="shared" si="175"/>
        <v>-6.0000000000000027</v>
      </c>
      <c r="F74" s="28">
        <v>0</v>
      </c>
      <c r="G74" s="38">
        <v>0</v>
      </c>
      <c r="H74" s="5">
        <f t="shared" si="112"/>
        <v>0</v>
      </c>
      <c r="I74" s="38">
        <f t="shared" si="171"/>
        <v>0</v>
      </c>
      <c r="J74" s="28">
        <f t="shared" si="86"/>
        <v>0</v>
      </c>
      <c r="K74" s="38">
        <f t="shared" si="172"/>
        <v>0</v>
      </c>
      <c r="L74" s="30">
        <f t="shared" si="186"/>
        <v>0</v>
      </c>
      <c r="M74" s="39">
        <f t="shared" si="173"/>
        <v>0</v>
      </c>
      <c r="N74" s="30">
        <f t="shared" si="186"/>
        <v>0</v>
      </c>
      <c r="O74" s="39">
        <f t="shared" si="181"/>
        <v>0</v>
      </c>
      <c r="P74" s="30">
        <f t="shared" si="186"/>
        <v>0</v>
      </c>
      <c r="Q74" s="39">
        <f t="shared" si="181"/>
        <v>0</v>
      </c>
      <c r="R74" s="30">
        <f t="shared" si="186"/>
        <v>0</v>
      </c>
      <c r="S74" s="39">
        <f t="shared" si="181"/>
        <v>0</v>
      </c>
      <c r="T74" s="30">
        <f t="shared" si="186"/>
        <v>0</v>
      </c>
      <c r="U74" s="39">
        <f t="shared" si="181"/>
        <v>0</v>
      </c>
      <c r="V74" s="30">
        <f t="shared" si="186"/>
        <v>0</v>
      </c>
      <c r="W74" s="39">
        <f t="shared" si="181"/>
        <v>0</v>
      </c>
      <c r="X74" s="30">
        <f t="shared" si="186"/>
        <v>0</v>
      </c>
      <c r="Y74" s="39">
        <f t="shared" si="181"/>
        <v>0</v>
      </c>
      <c r="Z74" s="30">
        <f t="shared" si="186"/>
        <v>0</v>
      </c>
      <c r="AA74" s="39">
        <f t="shared" si="181"/>
        <v>0</v>
      </c>
      <c r="AB74" s="30">
        <f t="shared" si="184"/>
        <v>0</v>
      </c>
      <c r="AC74" s="39">
        <f t="shared" si="181"/>
        <v>0</v>
      </c>
      <c r="AD74" s="30">
        <f t="shared" si="185"/>
        <v>0</v>
      </c>
      <c r="AE74" s="39">
        <f t="shared" si="182"/>
        <v>0</v>
      </c>
      <c r="AF74" s="30">
        <f t="shared" si="185"/>
        <v>0</v>
      </c>
      <c r="AG74" s="39">
        <f t="shared" si="182"/>
        <v>0</v>
      </c>
      <c r="AH74" s="30">
        <f t="shared" si="185"/>
        <v>0</v>
      </c>
      <c r="AI74" s="39">
        <f t="shared" si="182"/>
        <v>0</v>
      </c>
      <c r="AJ74" s="30">
        <f t="shared" si="185"/>
        <v>0</v>
      </c>
      <c r="AK74" s="39">
        <f t="shared" si="182"/>
        <v>0</v>
      </c>
      <c r="AL74" s="30">
        <f t="shared" si="185"/>
        <v>0</v>
      </c>
      <c r="AM74" s="39">
        <f t="shared" si="182"/>
        <v>0</v>
      </c>
      <c r="AN74" s="30">
        <f t="shared" si="185"/>
        <v>0</v>
      </c>
      <c r="AO74" s="39">
        <f t="shared" si="182"/>
        <v>0</v>
      </c>
      <c r="AP74" s="30">
        <f t="shared" si="185"/>
        <v>0</v>
      </c>
      <c r="AQ74" s="39">
        <f t="shared" si="182"/>
        <v>0</v>
      </c>
      <c r="AR74" s="30">
        <f t="shared" si="185"/>
        <v>0</v>
      </c>
      <c r="AS74" s="39">
        <f t="shared" si="182"/>
        <v>0</v>
      </c>
      <c r="AT74" s="30">
        <f t="shared" si="183"/>
        <v>0</v>
      </c>
      <c r="AU74" s="39">
        <f t="shared" ref="AU74:BI84" si="187">AT74</f>
        <v>0</v>
      </c>
      <c r="AV74" s="30">
        <f t="shared" si="183"/>
        <v>0</v>
      </c>
      <c r="AW74" s="39">
        <f t="shared" si="187"/>
        <v>0</v>
      </c>
      <c r="AX74" s="30">
        <f t="shared" si="183"/>
        <v>0</v>
      </c>
      <c r="AY74" s="39">
        <f t="shared" si="187"/>
        <v>0</v>
      </c>
      <c r="AZ74" s="30">
        <f t="shared" si="183"/>
        <v>0</v>
      </c>
      <c r="BA74" s="39">
        <f t="shared" si="187"/>
        <v>0</v>
      </c>
      <c r="BB74" s="30">
        <f t="shared" si="183"/>
        <v>0</v>
      </c>
      <c r="BC74" s="39">
        <f t="shared" si="187"/>
        <v>0</v>
      </c>
      <c r="BD74" s="30">
        <f t="shared" si="183"/>
        <v>0</v>
      </c>
      <c r="BE74" s="39">
        <f t="shared" si="187"/>
        <v>0</v>
      </c>
      <c r="BF74" s="30">
        <f t="shared" si="183"/>
        <v>0</v>
      </c>
      <c r="BG74" s="39">
        <f t="shared" si="187"/>
        <v>0</v>
      </c>
      <c r="BH74" s="30">
        <f t="shared" si="183"/>
        <v>0</v>
      </c>
      <c r="BI74" s="39">
        <f t="shared" si="187"/>
        <v>0</v>
      </c>
    </row>
    <row r="75" spans="2:61" x14ac:dyDescent="0.3">
      <c r="B75" s="34"/>
      <c r="C75" s="14">
        <f t="shared" si="174"/>
        <v>6.2000000000000028</v>
      </c>
      <c r="D75" s="35" t="s">
        <v>37</v>
      </c>
      <c r="E75" s="36">
        <f t="shared" si="175"/>
        <v>-6.2000000000000028</v>
      </c>
      <c r="F75" s="28">
        <v>0</v>
      </c>
      <c r="G75" s="38">
        <v>0</v>
      </c>
      <c r="H75" s="5">
        <f t="shared" si="112"/>
        <v>0</v>
      </c>
      <c r="I75" s="38">
        <f t="shared" si="171"/>
        <v>0</v>
      </c>
      <c r="J75" s="28">
        <f t="shared" si="86"/>
        <v>0</v>
      </c>
      <c r="K75" s="38">
        <f t="shared" si="172"/>
        <v>0</v>
      </c>
      <c r="L75" s="30">
        <f t="shared" si="186"/>
        <v>0</v>
      </c>
      <c r="M75" s="39">
        <f t="shared" si="173"/>
        <v>0</v>
      </c>
      <c r="N75" s="30">
        <f t="shared" si="186"/>
        <v>0</v>
      </c>
      <c r="O75" s="39">
        <f t="shared" ref="O75:AC85" si="188">N75</f>
        <v>0</v>
      </c>
      <c r="P75" s="30">
        <f t="shared" si="186"/>
        <v>0</v>
      </c>
      <c r="Q75" s="39">
        <f t="shared" si="188"/>
        <v>0</v>
      </c>
      <c r="R75" s="30">
        <f t="shared" si="186"/>
        <v>0</v>
      </c>
      <c r="S75" s="39">
        <f t="shared" si="188"/>
        <v>0</v>
      </c>
      <c r="T75" s="30">
        <f t="shared" si="186"/>
        <v>0</v>
      </c>
      <c r="U75" s="39">
        <f t="shared" si="188"/>
        <v>0</v>
      </c>
      <c r="V75" s="30">
        <f t="shared" si="186"/>
        <v>0</v>
      </c>
      <c r="W75" s="39">
        <f t="shared" si="188"/>
        <v>0</v>
      </c>
      <c r="X75" s="30">
        <f t="shared" si="186"/>
        <v>0</v>
      </c>
      <c r="Y75" s="39">
        <f t="shared" si="188"/>
        <v>0</v>
      </c>
      <c r="Z75" s="30">
        <f t="shared" si="186"/>
        <v>0</v>
      </c>
      <c r="AA75" s="39">
        <f t="shared" si="188"/>
        <v>0</v>
      </c>
      <c r="AB75" s="30">
        <f t="shared" si="184"/>
        <v>0</v>
      </c>
      <c r="AC75" s="39">
        <f t="shared" si="188"/>
        <v>0</v>
      </c>
      <c r="AD75" s="30">
        <f t="shared" si="185"/>
        <v>0</v>
      </c>
      <c r="AE75" s="39">
        <f t="shared" ref="AE75:AS85" si="189">AD75</f>
        <v>0</v>
      </c>
      <c r="AF75" s="30">
        <f t="shared" si="185"/>
        <v>0</v>
      </c>
      <c r="AG75" s="39">
        <f t="shared" si="189"/>
        <v>0</v>
      </c>
      <c r="AH75" s="30">
        <f t="shared" si="185"/>
        <v>0</v>
      </c>
      <c r="AI75" s="39">
        <f t="shared" si="189"/>
        <v>0</v>
      </c>
      <c r="AJ75" s="30">
        <f t="shared" si="185"/>
        <v>0</v>
      </c>
      <c r="AK75" s="39">
        <f t="shared" si="189"/>
        <v>0</v>
      </c>
      <c r="AL75" s="30">
        <f t="shared" si="185"/>
        <v>0</v>
      </c>
      <c r="AM75" s="39">
        <f t="shared" si="189"/>
        <v>0</v>
      </c>
      <c r="AN75" s="30">
        <f t="shared" si="185"/>
        <v>0</v>
      </c>
      <c r="AO75" s="39">
        <f t="shared" si="189"/>
        <v>0</v>
      </c>
      <c r="AP75" s="30">
        <f t="shared" si="185"/>
        <v>0</v>
      </c>
      <c r="AQ75" s="39">
        <f t="shared" si="189"/>
        <v>0</v>
      </c>
      <c r="AR75" s="30">
        <f t="shared" si="185"/>
        <v>0</v>
      </c>
      <c r="AS75" s="39">
        <f t="shared" si="189"/>
        <v>0</v>
      </c>
      <c r="AT75" s="30">
        <f t="shared" si="183"/>
        <v>0</v>
      </c>
      <c r="AU75" s="39">
        <f t="shared" si="187"/>
        <v>0</v>
      </c>
      <c r="AV75" s="30">
        <f t="shared" si="183"/>
        <v>0</v>
      </c>
      <c r="AW75" s="39">
        <f t="shared" si="187"/>
        <v>0</v>
      </c>
      <c r="AX75" s="30">
        <f t="shared" si="183"/>
        <v>0</v>
      </c>
      <c r="AY75" s="39">
        <f t="shared" si="187"/>
        <v>0</v>
      </c>
      <c r="AZ75" s="30">
        <f t="shared" si="183"/>
        <v>0</v>
      </c>
      <c r="BA75" s="39">
        <f t="shared" si="187"/>
        <v>0</v>
      </c>
      <c r="BB75" s="30">
        <f t="shared" si="183"/>
        <v>0</v>
      </c>
      <c r="BC75" s="39">
        <f t="shared" si="187"/>
        <v>0</v>
      </c>
      <c r="BD75" s="30">
        <f t="shared" si="183"/>
        <v>0</v>
      </c>
      <c r="BE75" s="39">
        <f t="shared" si="187"/>
        <v>0</v>
      </c>
      <c r="BF75" s="30">
        <f t="shared" si="183"/>
        <v>0</v>
      </c>
      <c r="BG75" s="39">
        <f t="shared" si="187"/>
        <v>0</v>
      </c>
      <c r="BH75" s="30">
        <f t="shared" si="183"/>
        <v>0</v>
      </c>
      <c r="BI75" s="39">
        <f t="shared" si="187"/>
        <v>0</v>
      </c>
    </row>
    <row r="76" spans="2:61" x14ac:dyDescent="0.3">
      <c r="B76" s="34"/>
      <c r="C76" s="14">
        <f t="shared" si="174"/>
        <v>6.400000000000003</v>
      </c>
      <c r="D76" s="35" t="s">
        <v>37</v>
      </c>
      <c r="E76" s="36">
        <f t="shared" si="175"/>
        <v>-6.400000000000003</v>
      </c>
      <c r="F76" s="28">
        <v>0</v>
      </c>
      <c r="G76" s="38">
        <v>0</v>
      </c>
      <c r="H76" s="5">
        <f t="shared" si="112"/>
        <v>0</v>
      </c>
      <c r="I76" s="38">
        <f t="shared" si="171"/>
        <v>0</v>
      </c>
      <c r="J76" s="28">
        <f t="shared" si="86"/>
        <v>0</v>
      </c>
      <c r="K76" s="38">
        <f t="shared" si="172"/>
        <v>0</v>
      </c>
      <c r="L76" s="30">
        <f t="shared" si="186"/>
        <v>0</v>
      </c>
      <c r="M76" s="39">
        <f t="shared" si="173"/>
        <v>0</v>
      </c>
      <c r="N76" s="30">
        <f t="shared" si="186"/>
        <v>0</v>
      </c>
      <c r="O76" s="39">
        <f t="shared" si="188"/>
        <v>0</v>
      </c>
      <c r="P76" s="30">
        <f t="shared" si="186"/>
        <v>0</v>
      </c>
      <c r="Q76" s="39">
        <f t="shared" si="188"/>
        <v>0</v>
      </c>
      <c r="R76" s="30">
        <f t="shared" si="186"/>
        <v>0</v>
      </c>
      <c r="S76" s="39">
        <f t="shared" si="188"/>
        <v>0</v>
      </c>
      <c r="T76" s="30">
        <f t="shared" si="186"/>
        <v>0</v>
      </c>
      <c r="U76" s="39">
        <f t="shared" si="188"/>
        <v>0</v>
      </c>
      <c r="V76" s="30">
        <f t="shared" si="186"/>
        <v>0</v>
      </c>
      <c r="W76" s="39">
        <f t="shared" si="188"/>
        <v>0</v>
      </c>
      <c r="X76" s="30">
        <f t="shared" si="186"/>
        <v>0</v>
      </c>
      <c r="Y76" s="39">
        <f t="shared" si="188"/>
        <v>0</v>
      </c>
      <c r="Z76" s="30">
        <f t="shared" si="186"/>
        <v>0</v>
      </c>
      <c r="AA76" s="39">
        <f t="shared" si="188"/>
        <v>0</v>
      </c>
      <c r="AB76" s="30">
        <f t="shared" si="184"/>
        <v>0</v>
      </c>
      <c r="AC76" s="39">
        <f t="shared" si="188"/>
        <v>0</v>
      </c>
      <c r="AD76" s="30">
        <f t="shared" si="185"/>
        <v>0</v>
      </c>
      <c r="AE76" s="39">
        <f t="shared" si="189"/>
        <v>0</v>
      </c>
      <c r="AF76" s="30">
        <f t="shared" si="185"/>
        <v>0</v>
      </c>
      <c r="AG76" s="39">
        <f t="shared" si="189"/>
        <v>0</v>
      </c>
      <c r="AH76" s="30">
        <f t="shared" si="185"/>
        <v>0</v>
      </c>
      <c r="AI76" s="39">
        <f t="shared" si="189"/>
        <v>0</v>
      </c>
      <c r="AJ76" s="30">
        <f t="shared" si="185"/>
        <v>0</v>
      </c>
      <c r="AK76" s="39">
        <f t="shared" si="189"/>
        <v>0</v>
      </c>
      <c r="AL76" s="30">
        <f t="shared" si="185"/>
        <v>0</v>
      </c>
      <c r="AM76" s="39">
        <f t="shared" si="189"/>
        <v>0</v>
      </c>
      <c r="AN76" s="30">
        <f t="shared" si="185"/>
        <v>0</v>
      </c>
      <c r="AO76" s="39">
        <f t="shared" si="189"/>
        <v>0</v>
      </c>
      <c r="AP76" s="30">
        <f t="shared" si="185"/>
        <v>0</v>
      </c>
      <c r="AQ76" s="39">
        <f t="shared" si="189"/>
        <v>0</v>
      </c>
      <c r="AR76" s="30">
        <f t="shared" si="185"/>
        <v>0</v>
      </c>
      <c r="AS76" s="39">
        <f t="shared" si="189"/>
        <v>0</v>
      </c>
      <c r="AT76" s="30">
        <f t="shared" si="183"/>
        <v>0</v>
      </c>
      <c r="AU76" s="39">
        <f t="shared" si="187"/>
        <v>0</v>
      </c>
      <c r="AV76" s="30">
        <f t="shared" si="183"/>
        <v>0</v>
      </c>
      <c r="AW76" s="39">
        <f t="shared" si="187"/>
        <v>0</v>
      </c>
      <c r="AX76" s="30">
        <f t="shared" si="183"/>
        <v>0</v>
      </c>
      <c r="AY76" s="39">
        <f t="shared" si="187"/>
        <v>0</v>
      </c>
      <c r="AZ76" s="30">
        <f t="shared" si="183"/>
        <v>0</v>
      </c>
      <c r="BA76" s="39">
        <f t="shared" si="187"/>
        <v>0</v>
      </c>
      <c r="BB76" s="30">
        <f t="shared" si="183"/>
        <v>0</v>
      </c>
      <c r="BC76" s="39">
        <f t="shared" si="187"/>
        <v>0</v>
      </c>
      <c r="BD76" s="30">
        <f t="shared" si="183"/>
        <v>0</v>
      </c>
      <c r="BE76" s="39">
        <f t="shared" si="187"/>
        <v>0</v>
      </c>
      <c r="BF76" s="30">
        <f t="shared" si="183"/>
        <v>0</v>
      </c>
      <c r="BG76" s="39">
        <f t="shared" si="187"/>
        <v>0</v>
      </c>
      <c r="BH76" s="30">
        <f t="shared" si="183"/>
        <v>0</v>
      </c>
      <c r="BI76" s="39">
        <f t="shared" si="187"/>
        <v>0</v>
      </c>
    </row>
    <row r="77" spans="2:61" x14ac:dyDescent="0.3">
      <c r="B77" s="34"/>
      <c r="C77" s="14">
        <f t="shared" si="174"/>
        <v>6.6000000000000032</v>
      </c>
      <c r="D77" s="35" t="s">
        <v>37</v>
      </c>
      <c r="E77" s="36">
        <f t="shared" si="175"/>
        <v>-6.6000000000000032</v>
      </c>
      <c r="F77" s="28">
        <v>0</v>
      </c>
      <c r="G77" s="38">
        <v>0</v>
      </c>
      <c r="H77" s="5">
        <f t="shared" si="112"/>
        <v>0</v>
      </c>
      <c r="I77" s="38">
        <f t="shared" si="171"/>
        <v>0</v>
      </c>
      <c r="J77" s="28">
        <f t="shared" si="86"/>
        <v>0</v>
      </c>
      <c r="K77" s="38">
        <f t="shared" si="172"/>
        <v>0</v>
      </c>
      <c r="L77" s="30">
        <f t="shared" si="186"/>
        <v>0</v>
      </c>
      <c r="M77" s="39">
        <f t="shared" si="173"/>
        <v>0</v>
      </c>
      <c r="N77" s="30">
        <f t="shared" si="186"/>
        <v>0</v>
      </c>
      <c r="O77" s="39">
        <f t="shared" si="188"/>
        <v>0</v>
      </c>
      <c r="P77" s="30">
        <f t="shared" si="186"/>
        <v>0</v>
      </c>
      <c r="Q77" s="39">
        <f t="shared" si="188"/>
        <v>0</v>
      </c>
      <c r="R77" s="30">
        <f t="shared" si="186"/>
        <v>0</v>
      </c>
      <c r="S77" s="39">
        <f t="shared" si="188"/>
        <v>0</v>
      </c>
      <c r="T77" s="30">
        <f t="shared" si="186"/>
        <v>0</v>
      </c>
      <c r="U77" s="39">
        <f t="shared" si="188"/>
        <v>0</v>
      </c>
      <c r="V77" s="30">
        <f t="shared" si="186"/>
        <v>0</v>
      </c>
      <c r="W77" s="39">
        <f t="shared" si="188"/>
        <v>0</v>
      </c>
      <c r="X77" s="30">
        <f t="shared" si="186"/>
        <v>0</v>
      </c>
      <c r="Y77" s="39">
        <f t="shared" si="188"/>
        <v>0</v>
      </c>
      <c r="Z77" s="30">
        <f t="shared" si="186"/>
        <v>0</v>
      </c>
      <c r="AA77" s="39">
        <f t="shared" si="188"/>
        <v>0</v>
      </c>
      <c r="AB77" s="30">
        <f t="shared" si="184"/>
        <v>0</v>
      </c>
      <c r="AC77" s="39">
        <f t="shared" si="188"/>
        <v>0</v>
      </c>
      <c r="AD77" s="30">
        <f t="shared" si="185"/>
        <v>0</v>
      </c>
      <c r="AE77" s="39">
        <f t="shared" si="189"/>
        <v>0</v>
      </c>
      <c r="AF77" s="30">
        <f t="shared" si="185"/>
        <v>0</v>
      </c>
      <c r="AG77" s="39">
        <f t="shared" si="189"/>
        <v>0</v>
      </c>
      <c r="AH77" s="30">
        <f t="shared" si="185"/>
        <v>0</v>
      </c>
      <c r="AI77" s="39">
        <f t="shared" si="189"/>
        <v>0</v>
      </c>
      <c r="AJ77" s="30">
        <f t="shared" si="185"/>
        <v>0</v>
      </c>
      <c r="AK77" s="39">
        <f t="shared" si="189"/>
        <v>0</v>
      </c>
      <c r="AL77" s="30">
        <f t="shared" si="185"/>
        <v>0</v>
      </c>
      <c r="AM77" s="39">
        <f t="shared" si="189"/>
        <v>0</v>
      </c>
      <c r="AN77" s="30">
        <f t="shared" si="185"/>
        <v>0</v>
      </c>
      <c r="AO77" s="39">
        <f t="shared" si="189"/>
        <v>0</v>
      </c>
      <c r="AP77" s="30">
        <f t="shared" si="185"/>
        <v>0</v>
      </c>
      <c r="AQ77" s="39">
        <f t="shared" si="189"/>
        <v>0</v>
      </c>
      <c r="AR77" s="30">
        <f t="shared" si="185"/>
        <v>0</v>
      </c>
      <c r="AS77" s="39">
        <f t="shared" si="189"/>
        <v>0</v>
      </c>
      <c r="AT77" s="30">
        <f t="shared" si="183"/>
        <v>0</v>
      </c>
      <c r="AU77" s="39">
        <f t="shared" si="187"/>
        <v>0</v>
      </c>
      <c r="AV77" s="30">
        <f t="shared" si="183"/>
        <v>0</v>
      </c>
      <c r="AW77" s="39">
        <f t="shared" si="187"/>
        <v>0</v>
      </c>
      <c r="AX77" s="30">
        <f t="shared" si="183"/>
        <v>0</v>
      </c>
      <c r="AY77" s="39">
        <f t="shared" si="187"/>
        <v>0</v>
      </c>
      <c r="AZ77" s="30">
        <f t="shared" si="183"/>
        <v>0</v>
      </c>
      <c r="BA77" s="39">
        <f t="shared" si="187"/>
        <v>0</v>
      </c>
      <c r="BB77" s="30">
        <f t="shared" si="183"/>
        <v>0</v>
      </c>
      <c r="BC77" s="39">
        <f t="shared" si="187"/>
        <v>0</v>
      </c>
      <c r="BD77" s="30">
        <f t="shared" si="183"/>
        <v>0</v>
      </c>
      <c r="BE77" s="39">
        <f t="shared" si="187"/>
        <v>0</v>
      </c>
      <c r="BF77" s="30">
        <f t="shared" si="183"/>
        <v>0</v>
      </c>
      <c r="BG77" s="39">
        <f t="shared" si="187"/>
        <v>0</v>
      </c>
      <c r="BH77" s="30">
        <f t="shared" si="183"/>
        <v>0</v>
      </c>
      <c r="BI77" s="39">
        <f t="shared" si="187"/>
        <v>0</v>
      </c>
    </row>
    <row r="78" spans="2:61" x14ac:dyDescent="0.3">
      <c r="B78" s="34"/>
      <c r="C78" s="14">
        <f t="shared" si="174"/>
        <v>6.8000000000000034</v>
      </c>
      <c r="D78" s="35" t="s">
        <v>37</v>
      </c>
      <c r="E78" s="36">
        <f t="shared" si="175"/>
        <v>-6.8000000000000034</v>
      </c>
      <c r="F78" s="28">
        <v>0</v>
      </c>
      <c r="G78" s="38">
        <v>0</v>
      </c>
      <c r="H78" s="5">
        <f t="shared" si="112"/>
        <v>0</v>
      </c>
      <c r="I78" s="38">
        <f t="shared" si="171"/>
        <v>0</v>
      </c>
      <c r="J78" s="28">
        <f t="shared" si="86"/>
        <v>0</v>
      </c>
      <c r="K78" s="38">
        <f t="shared" si="172"/>
        <v>0</v>
      </c>
      <c r="L78" s="30">
        <f t="shared" si="186"/>
        <v>0</v>
      </c>
      <c r="M78" s="39">
        <f t="shared" si="173"/>
        <v>0</v>
      </c>
      <c r="N78" s="30">
        <f t="shared" si="186"/>
        <v>0</v>
      </c>
      <c r="O78" s="39">
        <f t="shared" si="188"/>
        <v>0</v>
      </c>
      <c r="P78" s="30">
        <f t="shared" si="186"/>
        <v>0</v>
      </c>
      <c r="Q78" s="39">
        <f t="shared" si="188"/>
        <v>0</v>
      </c>
      <c r="R78" s="30">
        <f t="shared" si="186"/>
        <v>0</v>
      </c>
      <c r="S78" s="39">
        <f t="shared" si="188"/>
        <v>0</v>
      </c>
      <c r="T78" s="30">
        <f t="shared" si="186"/>
        <v>0</v>
      </c>
      <c r="U78" s="39">
        <f t="shared" si="188"/>
        <v>0</v>
      </c>
      <c r="V78" s="30">
        <f t="shared" si="186"/>
        <v>0</v>
      </c>
      <c r="W78" s="39">
        <f t="shared" si="188"/>
        <v>0</v>
      </c>
      <c r="X78" s="30">
        <f t="shared" si="186"/>
        <v>0</v>
      </c>
      <c r="Y78" s="39">
        <f t="shared" si="188"/>
        <v>0</v>
      </c>
      <c r="Z78" s="30">
        <f t="shared" si="186"/>
        <v>0</v>
      </c>
      <c r="AA78" s="39">
        <f t="shared" si="188"/>
        <v>0</v>
      </c>
      <c r="AB78" s="30">
        <f t="shared" si="184"/>
        <v>0</v>
      </c>
      <c r="AC78" s="39">
        <f t="shared" si="188"/>
        <v>0</v>
      </c>
      <c r="AD78" s="30">
        <f t="shared" si="185"/>
        <v>0</v>
      </c>
      <c r="AE78" s="39">
        <f t="shared" si="189"/>
        <v>0</v>
      </c>
      <c r="AF78" s="30">
        <f t="shared" si="185"/>
        <v>0</v>
      </c>
      <c r="AG78" s="39">
        <f t="shared" si="189"/>
        <v>0</v>
      </c>
      <c r="AH78" s="30">
        <f t="shared" si="185"/>
        <v>0</v>
      </c>
      <c r="AI78" s="39">
        <f t="shared" si="189"/>
        <v>0</v>
      </c>
      <c r="AJ78" s="30">
        <f t="shared" si="185"/>
        <v>0</v>
      </c>
      <c r="AK78" s="39">
        <f t="shared" si="189"/>
        <v>0</v>
      </c>
      <c r="AL78" s="30">
        <f t="shared" si="185"/>
        <v>0</v>
      </c>
      <c r="AM78" s="39">
        <f t="shared" si="189"/>
        <v>0</v>
      </c>
      <c r="AN78" s="30">
        <f t="shared" si="185"/>
        <v>0</v>
      </c>
      <c r="AO78" s="39">
        <f t="shared" si="189"/>
        <v>0</v>
      </c>
      <c r="AP78" s="30">
        <f t="shared" si="185"/>
        <v>0</v>
      </c>
      <c r="AQ78" s="39">
        <f t="shared" si="189"/>
        <v>0</v>
      </c>
      <c r="AR78" s="30">
        <f t="shared" si="185"/>
        <v>0</v>
      </c>
      <c r="AS78" s="39">
        <f t="shared" si="189"/>
        <v>0</v>
      </c>
      <c r="AT78" s="30">
        <f t="shared" si="183"/>
        <v>0</v>
      </c>
      <c r="AU78" s="39">
        <f t="shared" si="187"/>
        <v>0</v>
      </c>
      <c r="AV78" s="30">
        <f t="shared" si="183"/>
        <v>0</v>
      </c>
      <c r="AW78" s="39">
        <f t="shared" si="187"/>
        <v>0</v>
      </c>
      <c r="AX78" s="30">
        <f t="shared" si="183"/>
        <v>0</v>
      </c>
      <c r="AY78" s="39">
        <f t="shared" si="187"/>
        <v>0</v>
      </c>
      <c r="AZ78" s="30">
        <f t="shared" si="183"/>
        <v>0</v>
      </c>
      <c r="BA78" s="39">
        <f t="shared" si="187"/>
        <v>0</v>
      </c>
      <c r="BB78" s="30">
        <f t="shared" si="183"/>
        <v>0</v>
      </c>
      <c r="BC78" s="39">
        <f t="shared" si="187"/>
        <v>0</v>
      </c>
      <c r="BD78" s="30">
        <f t="shared" si="183"/>
        <v>0</v>
      </c>
      <c r="BE78" s="39">
        <f t="shared" si="187"/>
        <v>0</v>
      </c>
      <c r="BF78" s="30">
        <f t="shared" si="183"/>
        <v>0</v>
      </c>
      <c r="BG78" s="39">
        <f t="shared" si="187"/>
        <v>0</v>
      </c>
      <c r="BH78" s="30">
        <f t="shared" si="183"/>
        <v>0</v>
      </c>
      <c r="BI78" s="39">
        <f t="shared" si="187"/>
        <v>0</v>
      </c>
    </row>
    <row r="79" spans="2:61" x14ac:dyDescent="0.3">
      <c r="B79" s="34"/>
      <c r="C79" s="14">
        <f t="shared" si="174"/>
        <v>7.0000000000000036</v>
      </c>
      <c r="D79" s="35" t="s">
        <v>37</v>
      </c>
      <c r="E79" s="36">
        <f t="shared" si="175"/>
        <v>-7.0000000000000036</v>
      </c>
      <c r="F79" s="28">
        <v>0</v>
      </c>
      <c r="G79" s="38">
        <v>0</v>
      </c>
      <c r="H79" s="5">
        <f t="shared" si="112"/>
        <v>0</v>
      </c>
      <c r="I79" s="38">
        <f t="shared" si="171"/>
        <v>0</v>
      </c>
      <c r="J79" s="28">
        <f t="shared" si="86"/>
        <v>0</v>
      </c>
      <c r="K79" s="38">
        <f t="shared" si="172"/>
        <v>0</v>
      </c>
      <c r="L79" s="30">
        <f t="shared" si="186"/>
        <v>0</v>
      </c>
      <c r="M79" s="39">
        <f t="shared" si="173"/>
        <v>0</v>
      </c>
      <c r="N79" s="30">
        <f t="shared" si="186"/>
        <v>0</v>
      </c>
      <c r="O79" s="39">
        <f t="shared" si="188"/>
        <v>0</v>
      </c>
      <c r="P79" s="30">
        <f t="shared" si="186"/>
        <v>0</v>
      </c>
      <c r="Q79" s="39">
        <f t="shared" si="188"/>
        <v>0</v>
      </c>
      <c r="R79" s="30">
        <f t="shared" si="186"/>
        <v>0</v>
      </c>
      <c r="S79" s="39">
        <f t="shared" si="188"/>
        <v>0</v>
      </c>
      <c r="T79" s="30">
        <f t="shared" si="186"/>
        <v>0</v>
      </c>
      <c r="U79" s="39">
        <f t="shared" si="188"/>
        <v>0</v>
      </c>
      <c r="V79" s="30">
        <f t="shared" si="186"/>
        <v>0</v>
      </c>
      <c r="W79" s="39">
        <f t="shared" si="188"/>
        <v>0</v>
      </c>
      <c r="X79" s="30">
        <f t="shared" si="186"/>
        <v>0</v>
      </c>
      <c r="Y79" s="39">
        <f t="shared" si="188"/>
        <v>0</v>
      </c>
      <c r="Z79" s="30">
        <f t="shared" si="186"/>
        <v>0</v>
      </c>
      <c r="AA79" s="39">
        <f t="shared" si="188"/>
        <v>0</v>
      </c>
      <c r="AB79" s="30">
        <f t="shared" si="184"/>
        <v>0</v>
      </c>
      <c r="AC79" s="39">
        <f t="shared" si="188"/>
        <v>0</v>
      </c>
      <c r="AD79" s="30">
        <f t="shared" si="185"/>
        <v>0</v>
      </c>
      <c r="AE79" s="39">
        <f t="shared" si="189"/>
        <v>0</v>
      </c>
      <c r="AF79" s="30">
        <f t="shared" si="185"/>
        <v>0</v>
      </c>
      <c r="AG79" s="39">
        <f t="shared" si="189"/>
        <v>0</v>
      </c>
      <c r="AH79" s="30">
        <f t="shared" si="185"/>
        <v>0</v>
      </c>
      <c r="AI79" s="39">
        <f t="shared" si="189"/>
        <v>0</v>
      </c>
      <c r="AJ79" s="30">
        <f t="shared" si="185"/>
        <v>0</v>
      </c>
      <c r="AK79" s="39">
        <f t="shared" si="189"/>
        <v>0</v>
      </c>
      <c r="AL79" s="30">
        <f t="shared" si="185"/>
        <v>0</v>
      </c>
      <c r="AM79" s="39">
        <f t="shared" si="189"/>
        <v>0</v>
      </c>
      <c r="AN79" s="30">
        <f t="shared" si="185"/>
        <v>0</v>
      </c>
      <c r="AO79" s="39">
        <f t="shared" si="189"/>
        <v>0</v>
      </c>
      <c r="AP79" s="30">
        <f t="shared" si="185"/>
        <v>0</v>
      </c>
      <c r="AQ79" s="39">
        <f t="shared" si="189"/>
        <v>0</v>
      </c>
      <c r="AR79" s="30">
        <f t="shared" si="185"/>
        <v>0</v>
      </c>
      <c r="AS79" s="39">
        <f t="shared" si="189"/>
        <v>0</v>
      </c>
      <c r="AT79" s="30">
        <f t="shared" si="183"/>
        <v>0</v>
      </c>
      <c r="AU79" s="39">
        <f t="shared" si="187"/>
        <v>0</v>
      </c>
      <c r="AV79" s="30">
        <f t="shared" si="183"/>
        <v>0</v>
      </c>
      <c r="AW79" s="39">
        <f t="shared" si="187"/>
        <v>0</v>
      </c>
      <c r="AX79" s="30">
        <f t="shared" si="183"/>
        <v>0</v>
      </c>
      <c r="AY79" s="39">
        <f t="shared" si="187"/>
        <v>0</v>
      </c>
      <c r="AZ79" s="30">
        <f t="shared" si="183"/>
        <v>0</v>
      </c>
      <c r="BA79" s="39">
        <f t="shared" si="187"/>
        <v>0</v>
      </c>
      <c r="BB79" s="30">
        <f t="shared" si="183"/>
        <v>0</v>
      </c>
      <c r="BC79" s="39">
        <f t="shared" si="187"/>
        <v>0</v>
      </c>
      <c r="BD79" s="30">
        <f t="shared" si="183"/>
        <v>0</v>
      </c>
      <c r="BE79" s="39">
        <f t="shared" si="187"/>
        <v>0</v>
      </c>
      <c r="BF79" s="30">
        <f t="shared" si="183"/>
        <v>0</v>
      </c>
      <c r="BG79" s="39">
        <f t="shared" si="187"/>
        <v>0</v>
      </c>
      <c r="BH79" s="30">
        <f t="shared" si="183"/>
        <v>0</v>
      </c>
      <c r="BI79" s="39">
        <f t="shared" si="187"/>
        <v>0</v>
      </c>
    </row>
    <row r="80" spans="2:61" x14ac:dyDescent="0.3">
      <c r="B80" s="34"/>
      <c r="C80" s="14">
        <f t="shared" si="174"/>
        <v>7.2000000000000037</v>
      </c>
      <c r="D80" s="35" t="s">
        <v>37</v>
      </c>
      <c r="E80" s="36">
        <f t="shared" si="175"/>
        <v>-7.2000000000000037</v>
      </c>
      <c r="F80" s="28">
        <v>0</v>
      </c>
      <c r="G80" s="38">
        <v>0</v>
      </c>
      <c r="H80" s="5">
        <f t="shared" si="112"/>
        <v>0</v>
      </c>
      <c r="I80" s="38">
        <f t="shared" si="171"/>
        <v>0</v>
      </c>
      <c r="J80" s="28">
        <f t="shared" si="86"/>
        <v>0</v>
      </c>
      <c r="K80" s="38">
        <f t="shared" si="172"/>
        <v>0</v>
      </c>
      <c r="L80" s="30">
        <f t="shared" si="186"/>
        <v>0</v>
      </c>
      <c r="M80" s="39">
        <f t="shared" si="173"/>
        <v>0</v>
      </c>
      <c r="N80" s="30">
        <f t="shared" si="186"/>
        <v>0</v>
      </c>
      <c r="O80" s="39">
        <f t="shared" si="188"/>
        <v>0</v>
      </c>
      <c r="P80" s="30">
        <f t="shared" si="186"/>
        <v>0</v>
      </c>
      <c r="Q80" s="39">
        <f t="shared" si="188"/>
        <v>0</v>
      </c>
      <c r="R80" s="30">
        <f t="shared" si="186"/>
        <v>0</v>
      </c>
      <c r="S80" s="39">
        <f t="shared" si="188"/>
        <v>0</v>
      </c>
      <c r="T80" s="30">
        <f t="shared" si="186"/>
        <v>0</v>
      </c>
      <c r="U80" s="39">
        <f t="shared" si="188"/>
        <v>0</v>
      </c>
      <c r="V80" s="30">
        <f t="shared" si="186"/>
        <v>0</v>
      </c>
      <c r="W80" s="39">
        <f t="shared" si="188"/>
        <v>0</v>
      </c>
      <c r="X80" s="30">
        <f t="shared" si="186"/>
        <v>0</v>
      </c>
      <c r="Y80" s="39">
        <f t="shared" si="188"/>
        <v>0</v>
      </c>
      <c r="Z80" s="30">
        <f t="shared" si="186"/>
        <v>0</v>
      </c>
      <c r="AA80" s="39">
        <f t="shared" si="188"/>
        <v>0</v>
      </c>
      <c r="AB80" s="30">
        <f t="shared" si="184"/>
        <v>0</v>
      </c>
      <c r="AC80" s="39">
        <f t="shared" si="188"/>
        <v>0</v>
      </c>
      <c r="AD80" s="30">
        <f t="shared" si="185"/>
        <v>0</v>
      </c>
      <c r="AE80" s="39">
        <f t="shared" si="189"/>
        <v>0</v>
      </c>
      <c r="AF80" s="30">
        <f t="shared" si="185"/>
        <v>0</v>
      </c>
      <c r="AG80" s="39">
        <f t="shared" si="189"/>
        <v>0</v>
      </c>
      <c r="AH80" s="30">
        <f t="shared" si="185"/>
        <v>0</v>
      </c>
      <c r="AI80" s="39">
        <f t="shared" si="189"/>
        <v>0</v>
      </c>
      <c r="AJ80" s="30">
        <f t="shared" si="185"/>
        <v>0</v>
      </c>
      <c r="AK80" s="39">
        <f t="shared" si="189"/>
        <v>0</v>
      </c>
      <c r="AL80" s="30">
        <f t="shared" si="185"/>
        <v>0</v>
      </c>
      <c r="AM80" s="39">
        <f t="shared" si="189"/>
        <v>0</v>
      </c>
      <c r="AN80" s="30">
        <f t="shared" si="185"/>
        <v>0</v>
      </c>
      <c r="AO80" s="39">
        <f t="shared" si="189"/>
        <v>0</v>
      </c>
      <c r="AP80" s="30">
        <f t="shared" si="185"/>
        <v>0</v>
      </c>
      <c r="AQ80" s="39">
        <f t="shared" si="189"/>
        <v>0</v>
      </c>
      <c r="AR80" s="30">
        <f t="shared" si="185"/>
        <v>0</v>
      </c>
      <c r="AS80" s="39">
        <f t="shared" si="189"/>
        <v>0</v>
      </c>
      <c r="AT80" s="30">
        <f t="shared" si="183"/>
        <v>0</v>
      </c>
      <c r="AU80" s="39">
        <f t="shared" si="187"/>
        <v>0</v>
      </c>
      <c r="AV80" s="30">
        <f t="shared" si="183"/>
        <v>0</v>
      </c>
      <c r="AW80" s="39">
        <f t="shared" si="187"/>
        <v>0</v>
      </c>
      <c r="AX80" s="30">
        <f t="shared" si="183"/>
        <v>0</v>
      </c>
      <c r="AY80" s="39">
        <f t="shared" si="187"/>
        <v>0</v>
      </c>
      <c r="AZ80" s="30">
        <f t="shared" si="183"/>
        <v>0</v>
      </c>
      <c r="BA80" s="39">
        <f t="shared" si="187"/>
        <v>0</v>
      </c>
      <c r="BB80" s="30">
        <f t="shared" si="183"/>
        <v>0</v>
      </c>
      <c r="BC80" s="39">
        <f t="shared" si="187"/>
        <v>0</v>
      </c>
      <c r="BD80" s="30">
        <f t="shared" si="183"/>
        <v>0</v>
      </c>
      <c r="BE80" s="39">
        <f t="shared" si="187"/>
        <v>0</v>
      </c>
      <c r="BF80" s="30">
        <f t="shared" si="183"/>
        <v>0</v>
      </c>
      <c r="BG80" s="39">
        <f t="shared" si="187"/>
        <v>0</v>
      </c>
      <c r="BH80" s="30">
        <f t="shared" si="183"/>
        <v>0</v>
      </c>
      <c r="BI80" s="39">
        <f t="shared" si="187"/>
        <v>0</v>
      </c>
    </row>
    <row r="81" spans="2:70" x14ac:dyDescent="0.3">
      <c r="B81" s="34"/>
      <c r="C81" s="14">
        <f t="shared" si="174"/>
        <v>7.4000000000000039</v>
      </c>
      <c r="D81" s="35" t="s">
        <v>37</v>
      </c>
      <c r="E81" s="36">
        <f t="shared" si="175"/>
        <v>-7.4000000000000039</v>
      </c>
      <c r="F81" s="28">
        <v>0</v>
      </c>
      <c r="G81" s="38">
        <v>0</v>
      </c>
      <c r="H81" s="5">
        <f t="shared" si="112"/>
        <v>0</v>
      </c>
      <c r="I81" s="38">
        <f t="shared" si="171"/>
        <v>0</v>
      </c>
      <c r="J81" s="28">
        <f t="shared" si="86"/>
        <v>0</v>
      </c>
      <c r="K81" s="38">
        <f t="shared" si="172"/>
        <v>0</v>
      </c>
      <c r="L81" s="30">
        <f t="shared" si="186"/>
        <v>0</v>
      </c>
      <c r="M81" s="39">
        <f t="shared" si="173"/>
        <v>0</v>
      </c>
      <c r="N81" s="30">
        <f t="shared" si="186"/>
        <v>0</v>
      </c>
      <c r="O81" s="39">
        <f t="shared" si="188"/>
        <v>0</v>
      </c>
      <c r="P81" s="30">
        <f t="shared" si="186"/>
        <v>0</v>
      </c>
      <c r="Q81" s="39">
        <f t="shared" si="188"/>
        <v>0</v>
      </c>
      <c r="R81" s="30">
        <f t="shared" si="186"/>
        <v>0</v>
      </c>
      <c r="S81" s="39">
        <f t="shared" si="188"/>
        <v>0</v>
      </c>
      <c r="T81" s="30">
        <f t="shared" si="186"/>
        <v>0</v>
      </c>
      <c r="U81" s="39">
        <f t="shared" si="188"/>
        <v>0</v>
      </c>
      <c r="V81" s="30">
        <f t="shared" si="186"/>
        <v>0</v>
      </c>
      <c r="W81" s="39">
        <f t="shared" si="188"/>
        <v>0</v>
      </c>
      <c r="X81" s="30">
        <f t="shared" si="186"/>
        <v>0</v>
      </c>
      <c r="Y81" s="39">
        <f t="shared" si="188"/>
        <v>0</v>
      </c>
      <c r="Z81" s="30">
        <f t="shared" si="186"/>
        <v>0</v>
      </c>
      <c r="AA81" s="39">
        <f t="shared" si="188"/>
        <v>0</v>
      </c>
      <c r="AB81" s="30">
        <f t="shared" si="184"/>
        <v>0</v>
      </c>
      <c r="AC81" s="39">
        <f t="shared" si="188"/>
        <v>0</v>
      </c>
      <c r="AD81" s="30">
        <f t="shared" si="185"/>
        <v>0</v>
      </c>
      <c r="AE81" s="39">
        <f t="shared" si="189"/>
        <v>0</v>
      </c>
      <c r="AF81" s="30">
        <f t="shared" si="185"/>
        <v>0</v>
      </c>
      <c r="AG81" s="39">
        <f t="shared" si="189"/>
        <v>0</v>
      </c>
      <c r="AH81" s="30">
        <f t="shared" si="185"/>
        <v>0</v>
      </c>
      <c r="AI81" s="39">
        <f t="shared" si="189"/>
        <v>0</v>
      </c>
      <c r="AJ81" s="30">
        <f t="shared" si="185"/>
        <v>0</v>
      </c>
      <c r="AK81" s="39">
        <f t="shared" si="189"/>
        <v>0</v>
      </c>
      <c r="AL81" s="30">
        <f t="shared" si="185"/>
        <v>0</v>
      </c>
      <c r="AM81" s="39">
        <f t="shared" si="189"/>
        <v>0</v>
      </c>
      <c r="AN81" s="30">
        <f t="shared" si="185"/>
        <v>0</v>
      </c>
      <c r="AO81" s="39">
        <f t="shared" si="189"/>
        <v>0</v>
      </c>
      <c r="AP81" s="30">
        <f t="shared" si="185"/>
        <v>0</v>
      </c>
      <c r="AQ81" s="39">
        <f t="shared" si="189"/>
        <v>0</v>
      </c>
      <c r="AR81" s="30">
        <f t="shared" si="185"/>
        <v>0</v>
      </c>
      <c r="AS81" s="39">
        <f t="shared" si="189"/>
        <v>0</v>
      </c>
      <c r="AT81" s="30">
        <f t="shared" si="183"/>
        <v>0</v>
      </c>
      <c r="AU81" s="39">
        <f t="shared" si="187"/>
        <v>0</v>
      </c>
      <c r="AV81" s="30">
        <f t="shared" si="183"/>
        <v>0</v>
      </c>
      <c r="AW81" s="39">
        <f t="shared" si="187"/>
        <v>0</v>
      </c>
      <c r="AX81" s="30">
        <f t="shared" si="183"/>
        <v>0</v>
      </c>
      <c r="AY81" s="39">
        <f t="shared" si="187"/>
        <v>0</v>
      </c>
      <c r="AZ81" s="30">
        <f t="shared" si="183"/>
        <v>0</v>
      </c>
      <c r="BA81" s="39">
        <f t="shared" si="187"/>
        <v>0</v>
      </c>
      <c r="BB81" s="30">
        <f t="shared" si="183"/>
        <v>0</v>
      </c>
      <c r="BC81" s="39">
        <f t="shared" si="187"/>
        <v>0</v>
      </c>
      <c r="BD81" s="30">
        <f t="shared" si="183"/>
        <v>0</v>
      </c>
      <c r="BE81" s="39">
        <f t="shared" si="187"/>
        <v>0</v>
      </c>
      <c r="BF81" s="30">
        <f t="shared" si="183"/>
        <v>0</v>
      </c>
      <c r="BG81" s="39">
        <f t="shared" si="187"/>
        <v>0</v>
      </c>
      <c r="BH81" s="30">
        <f t="shared" si="183"/>
        <v>0</v>
      </c>
      <c r="BI81" s="39">
        <f t="shared" si="187"/>
        <v>0</v>
      </c>
    </row>
    <row r="82" spans="2:70" x14ac:dyDescent="0.3">
      <c r="B82" s="34"/>
      <c r="C82" s="14">
        <f t="shared" si="174"/>
        <v>7.6000000000000041</v>
      </c>
      <c r="D82" s="35" t="s">
        <v>37</v>
      </c>
      <c r="E82" s="36">
        <f t="shared" si="175"/>
        <v>-7.6000000000000041</v>
      </c>
      <c r="F82" s="28">
        <v>0</v>
      </c>
      <c r="G82" s="38">
        <v>0</v>
      </c>
      <c r="H82" s="5">
        <f t="shared" si="112"/>
        <v>0</v>
      </c>
      <c r="I82" s="38">
        <f t="shared" si="171"/>
        <v>0</v>
      </c>
      <c r="J82" s="28">
        <f t="shared" si="86"/>
        <v>0</v>
      </c>
      <c r="K82" s="38">
        <f t="shared" si="172"/>
        <v>0</v>
      </c>
      <c r="L82" s="30">
        <f t="shared" si="186"/>
        <v>0</v>
      </c>
      <c r="M82" s="39">
        <f t="shared" si="173"/>
        <v>0</v>
      </c>
      <c r="N82" s="30">
        <f t="shared" si="186"/>
        <v>0</v>
      </c>
      <c r="O82" s="39">
        <f t="shared" si="188"/>
        <v>0</v>
      </c>
      <c r="P82" s="30">
        <f t="shared" si="186"/>
        <v>0</v>
      </c>
      <c r="Q82" s="39">
        <f t="shared" si="188"/>
        <v>0</v>
      </c>
      <c r="R82" s="30">
        <f t="shared" si="186"/>
        <v>0</v>
      </c>
      <c r="S82" s="39">
        <f t="shared" si="188"/>
        <v>0</v>
      </c>
      <c r="T82" s="30">
        <f t="shared" si="186"/>
        <v>0</v>
      </c>
      <c r="U82" s="39">
        <f t="shared" si="188"/>
        <v>0</v>
      </c>
      <c r="V82" s="30">
        <f t="shared" si="186"/>
        <v>0</v>
      </c>
      <c r="W82" s="39">
        <f t="shared" si="188"/>
        <v>0</v>
      </c>
      <c r="X82" s="30">
        <f t="shared" si="186"/>
        <v>0</v>
      </c>
      <c r="Y82" s="39">
        <f t="shared" si="188"/>
        <v>0</v>
      </c>
      <c r="Z82" s="30">
        <f t="shared" si="186"/>
        <v>0</v>
      </c>
      <c r="AA82" s="39">
        <f t="shared" si="188"/>
        <v>0</v>
      </c>
      <c r="AB82" s="30">
        <f t="shared" si="184"/>
        <v>0</v>
      </c>
      <c r="AC82" s="39">
        <f t="shared" si="188"/>
        <v>0</v>
      </c>
      <c r="AD82" s="30">
        <f t="shared" si="185"/>
        <v>0</v>
      </c>
      <c r="AE82" s="39">
        <f t="shared" si="189"/>
        <v>0</v>
      </c>
      <c r="AF82" s="30">
        <f t="shared" si="185"/>
        <v>0</v>
      </c>
      <c r="AG82" s="39">
        <f t="shared" si="189"/>
        <v>0</v>
      </c>
      <c r="AH82" s="30">
        <f t="shared" si="185"/>
        <v>0</v>
      </c>
      <c r="AI82" s="39">
        <f t="shared" si="189"/>
        <v>0</v>
      </c>
      <c r="AJ82" s="30">
        <f t="shared" si="185"/>
        <v>0</v>
      </c>
      <c r="AK82" s="39">
        <f t="shared" si="189"/>
        <v>0</v>
      </c>
      <c r="AL82" s="30">
        <f t="shared" si="185"/>
        <v>0</v>
      </c>
      <c r="AM82" s="39">
        <f t="shared" si="189"/>
        <v>0</v>
      </c>
      <c r="AN82" s="30">
        <f t="shared" si="185"/>
        <v>0</v>
      </c>
      <c r="AO82" s="39">
        <f t="shared" si="189"/>
        <v>0</v>
      </c>
      <c r="AP82" s="30">
        <f t="shared" si="185"/>
        <v>0</v>
      </c>
      <c r="AQ82" s="39">
        <f t="shared" si="189"/>
        <v>0</v>
      </c>
      <c r="AR82" s="30">
        <f t="shared" si="185"/>
        <v>0</v>
      </c>
      <c r="AS82" s="39">
        <f t="shared" si="189"/>
        <v>0</v>
      </c>
      <c r="AT82" s="30">
        <f t="shared" si="183"/>
        <v>0</v>
      </c>
      <c r="AU82" s="39">
        <f t="shared" si="187"/>
        <v>0</v>
      </c>
      <c r="AV82" s="30">
        <f t="shared" si="183"/>
        <v>0</v>
      </c>
      <c r="AW82" s="39">
        <f t="shared" si="187"/>
        <v>0</v>
      </c>
      <c r="AX82" s="30">
        <f t="shared" si="183"/>
        <v>0</v>
      </c>
      <c r="AY82" s="39">
        <f t="shared" si="187"/>
        <v>0</v>
      </c>
      <c r="AZ82" s="30">
        <f t="shared" si="183"/>
        <v>0</v>
      </c>
      <c r="BA82" s="39">
        <f t="shared" si="187"/>
        <v>0</v>
      </c>
      <c r="BB82" s="30">
        <f t="shared" si="183"/>
        <v>0</v>
      </c>
      <c r="BC82" s="39">
        <f t="shared" si="187"/>
        <v>0</v>
      </c>
      <c r="BD82" s="30">
        <f t="shared" si="183"/>
        <v>0</v>
      </c>
      <c r="BE82" s="39">
        <f t="shared" si="187"/>
        <v>0</v>
      </c>
      <c r="BF82" s="30">
        <f t="shared" si="183"/>
        <v>0</v>
      </c>
      <c r="BG82" s="39">
        <f t="shared" si="187"/>
        <v>0</v>
      </c>
      <c r="BH82" s="30">
        <f t="shared" si="183"/>
        <v>0</v>
      </c>
      <c r="BI82" s="39">
        <f t="shared" si="187"/>
        <v>0</v>
      </c>
    </row>
    <row r="83" spans="2:70" x14ac:dyDescent="0.3">
      <c r="B83" s="34"/>
      <c r="C83" s="14">
        <f t="shared" si="174"/>
        <v>7.8000000000000043</v>
      </c>
      <c r="D83" s="35" t="s">
        <v>37</v>
      </c>
      <c r="E83" s="36">
        <f t="shared" si="175"/>
        <v>-7.8000000000000043</v>
      </c>
      <c r="F83" s="28">
        <v>0</v>
      </c>
      <c r="G83" s="38">
        <v>0</v>
      </c>
      <c r="H83" s="5">
        <f t="shared" si="112"/>
        <v>0</v>
      </c>
      <c r="I83" s="38">
        <f t="shared" si="171"/>
        <v>0</v>
      </c>
      <c r="J83" s="28">
        <f t="shared" si="86"/>
        <v>0</v>
      </c>
      <c r="K83" s="38">
        <f t="shared" si="172"/>
        <v>0</v>
      </c>
      <c r="L83" s="30">
        <f t="shared" si="186"/>
        <v>0</v>
      </c>
      <c r="M83" s="39">
        <f t="shared" si="173"/>
        <v>0</v>
      </c>
      <c r="N83" s="30">
        <f t="shared" si="186"/>
        <v>0</v>
      </c>
      <c r="O83" s="39">
        <f t="shared" si="188"/>
        <v>0</v>
      </c>
      <c r="P83" s="30">
        <f t="shared" si="186"/>
        <v>0</v>
      </c>
      <c r="Q83" s="39">
        <f t="shared" si="188"/>
        <v>0</v>
      </c>
      <c r="R83" s="30">
        <f t="shared" si="186"/>
        <v>0</v>
      </c>
      <c r="S83" s="39">
        <f t="shared" si="188"/>
        <v>0</v>
      </c>
      <c r="T83" s="30">
        <f t="shared" si="186"/>
        <v>0</v>
      </c>
      <c r="U83" s="39">
        <f t="shared" si="188"/>
        <v>0</v>
      </c>
      <c r="V83" s="30">
        <f t="shared" si="186"/>
        <v>0</v>
      </c>
      <c r="W83" s="39">
        <f t="shared" si="188"/>
        <v>0</v>
      </c>
      <c r="X83" s="30">
        <f t="shared" si="186"/>
        <v>0</v>
      </c>
      <c r="Y83" s="39">
        <f t="shared" si="188"/>
        <v>0</v>
      </c>
      <c r="Z83" s="30">
        <f t="shared" si="186"/>
        <v>0</v>
      </c>
      <c r="AA83" s="39">
        <f t="shared" si="188"/>
        <v>0</v>
      </c>
      <c r="AB83" s="30">
        <f t="shared" si="184"/>
        <v>0</v>
      </c>
      <c r="AC83" s="39">
        <f t="shared" si="188"/>
        <v>0</v>
      </c>
      <c r="AD83" s="30">
        <f t="shared" si="185"/>
        <v>0</v>
      </c>
      <c r="AE83" s="39">
        <f t="shared" si="189"/>
        <v>0</v>
      </c>
      <c r="AF83" s="30">
        <f t="shared" si="185"/>
        <v>0</v>
      </c>
      <c r="AG83" s="39">
        <f t="shared" si="189"/>
        <v>0</v>
      </c>
      <c r="AH83" s="30">
        <f t="shared" si="185"/>
        <v>0</v>
      </c>
      <c r="AI83" s="39">
        <f t="shared" si="189"/>
        <v>0</v>
      </c>
      <c r="AJ83" s="30">
        <f t="shared" si="185"/>
        <v>0</v>
      </c>
      <c r="AK83" s="39">
        <f t="shared" si="189"/>
        <v>0</v>
      </c>
      <c r="AL83" s="30">
        <f t="shared" si="185"/>
        <v>0</v>
      </c>
      <c r="AM83" s="39">
        <f t="shared" si="189"/>
        <v>0</v>
      </c>
      <c r="AN83" s="30">
        <f t="shared" si="185"/>
        <v>0</v>
      </c>
      <c r="AO83" s="39">
        <f t="shared" si="189"/>
        <v>0</v>
      </c>
      <c r="AP83" s="30">
        <f t="shared" si="185"/>
        <v>0</v>
      </c>
      <c r="AQ83" s="39">
        <f t="shared" si="189"/>
        <v>0</v>
      </c>
      <c r="AR83" s="30">
        <f t="shared" si="185"/>
        <v>0</v>
      </c>
      <c r="AS83" s="39">
        <f t="shared" si="189"/>
        <v>0</v>
      </c>
      <c r="AT83" s="30">
        <f t="shared" ref="AT83:BH85" si="190">(AS84+AS82)/2</f>
        <v>0</v>
      </c>
      <c r="AU83" s="39">
        <f t="shared" si="187"/>
        <v>0</v>
      </c>
      <c r="AV83" s="30">
        <f t="shared" si="190"/>
        <v>0</v>
      </c>
      <c r="AW83" s="39">
        <f t="shared" si="187"/>
        <v>0</v>
      </c>
      <c r="AX83" s="30">
        <f t="shared" si="190"/>
        <v>0</v>
      </c>
      <c r="AY83" s="39">
        <f t="shared" si="187"/>
        <v>0</v>
      </c>
      <c r="AZ83" s="30">
        <f t="shared" si="190"/>
        <v>0</v>
      </c>
      <c r="BA83" s="39">
        <f t="shared" si="187"/>
        <v>0</v>
      </c>
      <c r="BB83" s="30">
        <f t="shared" si="190"/>
        <v>0</v>
      </c>
      <c r="BC83" s="39">
        <f t="shared" si="187"/>
        <v>0</v>
      </c>
      <c r="BD83" s="30">
        <f t="shared" si="190"/>
        <v>0</v>
      </c>
      <c r="BE83" s="39">
        <f t="shared" si="187"/>
        <v>0</v>
      </c>
      <c r="BF83" s="30">
        <f t="shared" si="190"/>
        <v>0</v>
      </c>
      <c r="BG83" s="39">
        <f t="shared" si="187"/>
        <v>0</v>
      </c>
      <c r="BH83" s="30">
        <f t="shared" si="190"/>
        <v>0</v>
      </c>
      <c r="BI83" s="39">
        <f t="shared" si="187"/>
        <v>0</v>
      </c>
    </row>
    <row r="84" spans="2:70" x14ac:dyDescent="0.3">
      <c r="B84" s="40"/>
      <c r="C84" s="61">
        <f t="shared" si="174"/>
        <v>8.0000000000000036</v>
      </c>
      <c r="D84" s="41" t="s">
        <v>37</v>
      </c>
      <c r="E84" s="36">
        <f t="shared" si="175"/>
        <v>-8.0000000000000036</v>
      </c>
      <c r="F84" s="28">
        <v>0</v>
      </c>
      <c r="G84" s="38">
        <v>0</v>
      </c>
      <c r="H84" s="5">
        <f t="shared" si="112"/>
        <v>0</v>
      </c>
      <c r="I84" s="38">
        <f t="shared" si="171"/>
        <v>0</v>
      </c>
      <c r="J84" s="28">
        <f t="shared" si="86"/>
        <v>0</v>
      </c>
      <c r="K84" s="38">
        <f t="shared" si="172"/>
        <v>0</v>
      </c>
      <c r="L84" s="30">
        <f t="shared" si="186"/>
        <v>0</v>
      </c>
      <c r="M84" s="39">
        <f t="shared" si="173"/>
        <v>0</v>
      </c>
      <c r="N84" s="30">
        <f t="shared" si="186"/>
        <v>0</v>
      </c>
      <c r="O84" s="39">
        <f t="shared" si="188"/>
        <v>0</v>
      </c>
      <c r="P84" s="30">
        <f t="shared" si="186"/>
        <v>0</v>
      </c>
      <c r="Q84" s="39">
        <f t="shared" si="188"/>
        <v>0</v>
      </c>
      <c r="R84" s="30">
        <f t="shared" si="186"/>
        <v>0</v>
      </c>
      <c r="S84" s="39">
        <f t="shared" si="188"/>
        <v>0</v>
      </c>
      <c r="T84" s="30">
        <f t="shared" si="186"/>
        <v>0</v>
      </c>
      <c r="U84" s="39">
        <f t="shared" si="188"/>
        <v>0</v>
      </c>
      <c r="V84" s="30">
        <f t="shared" si="186"/>
        <v>0</v>
      </c>
      <c r="W84" s="39">
        <f t="shared" si="188"/>
        <v>0</v>
      </c>
      <c r="X84" s="30">
        <f t="shared" si="186"/>
        <v>0</v>
      </c>
      <c r="Y84" s="39">
        <f t="shared" si="188"/>
        <v>0</v>
      </c>
      <c r="Z84" s="30">
        <f t="shared" si="186"/>
        <v>0</v>
      </c>
      <c r="AA84" s="39">
        <f t="shared" si="188"/>
        <v>0</v>
      </c>
      <c r="AB84" s="30">
        <f t="shared" ref="AB84:AP86" si="191">(AA85+AA83)/2</f>
        <v>0</v>
      </c>
      <c r="AC84" s="39">
        <f t="shared" si="188"/>
        <v>0</v>
      </c>
      <c r="AD84" s="30">
        <f t="shared" si="191"/>
        <v>0</v>
      </c>
      <c r="AE84" s="39">
        <f t="shared" si="189"/>
        <v>0</v>
      </c>
      <c r="AF84" s="30">
        <f t="shared" si="191"/>
        <v>0</v>
      </c>
      <c r="AG84" s="39">
        <f t="shared" si="189"/>
        <v>0</v>
      </c>
      <c r="AH84" s="30">
        <f t="shared" si="191"/>
        <v>0</v>
      </c>
      <c r="AI84" s="39">
        <f t="shared" si="189"/>
        <v>0</v>
      </c>
      <c r="AJ84" s="30">
        <f t="shared" si="191"/>
        <v>0</v>
      </c>
      <c r="AK84" s="39">
        <f t="shared" si="189"/>
        <v>0</v>
      </c>
      <c r="AL84" s="30">
        <f t="shared" si="191"/>
        <v>0</v>
      </c>
      <c r="AM84" s="39">
        <f t="shared" si="189"/>
        <v>0</v>
      </c>
      <c r="AN84" s="30">
        <f t="shared" si="191"/>
        <v>0</v>
      </c>
      <c r="AO84" s="39">
        <f t="shared" si="189"/>
        <v>0</v>
      </c>
      <c r="AP84" s="30">
        <f t="shared" si="191"/>
        <v>0</v>
      </c>
      <c r="AQ84" s="39">
        <f t="shared" si="189"/>
        <v>0</v>
      </c>
      <c r="AR84" s="30">
        <f t="shared" ref="AR84:BF86" si="192">(AQ85+AQ83)/2</f>
        <v>0</v>
      </c>
      <c r="AS84" s="39">
        <f t="shared" si="189"/>
        <v>0</v>
      </c>
      <c r="AT84" s="30">
        <f t="shared" si="192"/>
        <v>0</v>
      </c>
      <c r="AU84" s="39">
        <f t="shared" si="187"/>
        <v>0</v>
      </c>
      <c r="AV84" s="30">
        <f t="shared" si="192"/>
        <v>0</v>
      </c>
      <c r="AW84" s="39">
        <f t="shared" si="187"/>
        <v>0</v>
      </c>
      <c r="AX84" s="30">
        <f t="shared" si="192"/>
        <v>0</v>
      </c>
      <c r="AY84" s="39">
        <f t="shared" si="187"/>
        <v>0</v>
      </c>
      <c r="AZ84" s="30">
        <f t="shared" si="192"/>
        <v>0</v>
      </c>
      <c r="BA84" s="39">
        <f t="shared" si="187"/>
        <v>0</v>
      </c>
      <c r="BB84" s="30">
        <f t="shared" si="192"/>
        <v>0</v>
      </c>
      <c r="BC84" s="39">
        <f t="shared" si="187"/>
        <v>0</v>
      </c>
      <c r="BD84" s="30">
        <f t="shared" si="192"/>
        <v>0</v>
      </c>
      <c r="BE84" s="39">
        <f t="shared" si="187"/>
        <v>0</v>
      </c>
      <c r="BF84" s="30">
        <f t="shared" si="192"/>
        <v>0</v>
      </c>
      <c r="BG84" s="39">
        <f t="shared" si="187"/>
        <v>0</v>
      </c>
      <c r="BH84" s="30">
        <f t="shared" si="190"/>
        <v>0</v>
      </c>
      <c r="BI84" s="39">
        <f t="shared" si="187"/>
        <v>0</v>
      </c>
    </row>
    <row r="88" spans="2:70" ht="18" x14ac:dyDescent="0.35">
      <c r="E88" s="42" t="s">
        <v>38</v>
      </c>
      <c r="F88" s="43">
        <v>1.0000000000000001E-5</v>
      </c>
      <c r="G88" s="43"/>
      <c r="H88" s="43"/>
      <c r="I88" s="43"/>
      <c r="BO88" s="44" t="s">
        <v>39</v>
      </c>
      <c r="BP88" s="44" t="s">
        <v>40</v>
      </c>
      <c r="BQ88" s="45" t="s">
        <v>41</v>
      </c>
      <c r="BR88" s="46"/>
    </row>
    <row r="89" spans="2:70" x14ac:dyDescent="0.3">
      <c r="E89" s="43" t="s">
        <v>42</v>
      </c>
      <c r="F89" s="43">
        <v>20</v>
      </c>
      <c r="G89" s="43" t="s">
        <v>43</v>
      </c>
      <c r="H89" s="43" t="s">
        <v>44</v>
      </c>
      <c r="I89" s="43">
        <f>F89/F91</f>
        <v>5</v>
      </c>
      <c r="BO89" s="47">
        <v>1</v>
      </c>
      <c r="BP89" s="47">
        <f>VLOOKUP(BO89,'[1]Stress vs Strain Overtime'!B7:Q35,15,0)</f>
        <v>17547.720763929738</v>
      </c>
      <c r="BQ89" s="48">
        <v>18</v>
      </c>
      <c r="BR89" s="49"/>
    </row>
    <row r="90" spans="2:70" x14ac:dyDescent="0.3">
      <c r="E90" s="43" t="s">
        <v>45</v>
      </c>
      <c r="F90" s="43">
        <v>10</v>
      </c>
      <c r="G90" s="43" t="s">
        <v>43</v>
      </c>
      <c r="H90" s="43" t="s">
        <v>46</v>
      </c>
      <c r="I90" s="43">
        <v>40000</v>
      </c>
      <c r="BO90" s="47">
        <f>'[1]Stress vs Strain Overtime'!B8</f>
        <v>2</v>
      </c>
      <c r="BP90" s="47">
        <f>VLOOKUP(BO90,'[1]Stress vs Strain Overtime'!B8:Q36,15,0)</f>
        <v>21353.972763680202</v>
      </c>
      <c r="BQ90" s="48">
        <v>18</v>
      </c>
      <c r="BR90" s="49"/>
    </row>
    <row r="91" spans="2:70" x14ac:dyDescent="0.3">
      <c r="E91" s="43" t="s">
        <v>47</v>
      </c>
      <c r="F91" s="43">
        <v>4</v>
      </c>
      <c r="G91" s="43" t="s">
        <v>43</v>
      </c>
      <c r="H91" s="43"/>
      <c r="I91" s="43"/>
      <c r="BO91" s="47">
        <f>'[1]Stress vs Strain Overtime'!B9</f>
        <v>3</v>
      </c>
      <c r="BP91" s="47">
        <f>VLOOKUP(BO91,'[1]Stress vs Strain Overtime'!B9:Q37,15,0)</f>
        <v>23294.284046768291</v>
      </c>
      <c r="BQ91" s="48">
        <v>18</v>
      </c>
      <c r="BR91" s="49"/>
    </row>
    <row r="92" spans="2:70" ht="16.2" x14ac:dyDescent="0.3">
      <c r="E92" s="43" t="s">
        <v>48</v>
      </c>
      <c r="F92" s="43">
        <f>F89*F90</f>
        <v>200</v>
      </c>
      <c r="G92" s="43" t="s">
        <v>49</v>
      </c>
      <c r="H92" s="43"/>
      <c r="I92" s="43"/>
      <c r="BO92" s="47">
        <f>'[1]Stress vs Strain Overtime'!B10</f>
        <v>4</v>
      </c>
      <c r="BP92" s="47">
        <f>VLOOKUP(BO92,'[1]Stress vs Strain Overtime'!B10:Q38,15,0)</f>
        <v>24533.819903134925</v>
      </c>
      <c r="BQ92" s="48">
        <v>18</v>
      </c>
      <c r="BR92" s="49"/>
    </row>
    <row r="93" spans="2:70" ht="16.2" x14ac:dyDescent="0.3">
      <c r="E93" s="43" t="s">
        <v>50</v>
      </c>
      <c r="F93" s="43">
        <f>2.5*F92</f>
        <v>500</v>
      </c>
      <c r="G93" s="43" t="s">
        <v>49</v>
      </c>
      <c r="H93" s="43"/>
      <c r="I93" s="43"/>
      <c r="BO93" s="47">
        <f>'[1]Stress vs Strain Overtime'!B11</f>
        <v>5</v>
      </c>
      <c r="BP93" s="47">
        <f>VLOOKUP(BO93,'[1]Stress vs Strain Overtime'!B11:Q39,15,0)</f>
        <v>25417.375804524141</v>
      </c>
      <c r="BQ93" s="48">
        <v>18</v>
      </c>
      <c r="BR93" s="49"/>
    </row>
    <row r="94" spans="2:70" x14ac:dyDescent="0.3">
      <c r="E94" s="43"/>
      <c r="F94" s="43"/>
      <c r="G94" s="43"/>
      <c r="H94" s="43"/>
      <c r="I94" s="43"/>
      <c r="BO94" s="47">
        <f>'[1]Stress vs Strain Overtime'!B12</f>
        <v>6</v>
      </c>
      <c r="BP94" s="47">
        <f>VLOOKUP(BO94,'[1]Stress vs Strain Overtime'!B12:Q40,15,0)</f>
        <v>26089.939893884653</v>
      </c>
      <c r="BQ94" s="48">
        <v>18</v>
      </c>
      <c r="BR94" s="49"/>
    </row>
    <row r="95" spans="2:70" x14ac:dyDescent="0.3">
      <c r="E95" s="43" t="s">
        <v>51</v>
      </c>
      <c r="F95" s="43">
        <f>IF(I89&lt;2.5, (I89-1)/(I89+10), (I89-2)/(I89+1)/2)</f>
        <v>0.25</v>
      </c>
      <c r="G95" s="43"/>
      <c r="H95" s="43"/>
      <c r="I95" s="43"/>
      <c r="BO95" s="47">
        <f>'[1]Stress vs Strain Overtime'!B13</f>
        <v>7</v>
      </c>
      <c r="BP95" s="47">
        <f>VLOOKUP(BO95,'[1]Stress vs Strain Overtime'!B13:Q41,15,0)</f>
        <v>26624.923104897403</v>
      </c>
      <c r="BQ95" s="48">
        <v>18</v>
      </c>
      <c r="BR95" s="49"/>
    </row>
    <row r="96" spans="2:70" x14ac:dyDescent="0.3">
      <c r="E96" s="43" t="s">
        <v>52</v>
      </c>
      <c r="F96" s="62">
        <f>1/(1+((F92*BP98)/(F93*I90)))</f>
        <v>0.78278033481044929</v>
      </c>
      <c r="G96" s="43" t="s">
        <v>53</v>
      </c>
      <c r="H96" s="43">
        <f>(F95*F96)</f>
        <v>0.19569508370261232</v>
      </c>
      <c r="I96" s="43"/>
      <c r="BO96" s="47">
        <v>8</v>
      </c>
      <c r="BP96" s="47">
        <f>VLOOKUP(BO96,'[1]Stress vs Strain Overtime'!B14:Q42,15,0)</f>
        <v>27064.135409803963</v>
      </c>
      <c r="BQ96" s="48">
        <v>18</v>
      </c>
      <c r="BR96" s="49"/>
    </row>
    <row r="97" spans="2:70" x14ac:dyDescent="0.3">
      <c r="E97" s="43" t="s">
        <v>54</v>
      </c>
      <c r="F97" s="43">
        <v>1</v>
      </c>
      <c r="G97" s="43"/>
      <c r="H97" s="43"/>
      <c r="I97" s="43"/>
      <c r="BO97" s="47">
        <f>'[1]Stress vs Strain Overtime'!B15</f>
        <v>9</v>
      </c>
      <c r="BP97" s="47">
        <f>VLOOKUP(BO97,'[1]Stress vs Strain Overtime'!B15:Q43,15,0)</f>
        <v>27433.422510023414</v>
      </c>
      <c r="BQ97" s="48">
        <v>18</v>
      </c>
      <c r="BR97" s="49"/>
    </row>
    <row r="98" spans="2:70" x14ac:dyDescent="0.3">
      <c r="E98" s="43" t="s">
        <v>56</v>
      </c>
      <c r="F98" s="50">
        <f>'[1]Placing Temp'!I22</f>
        <v>10.525436669236857</v>
      </c>
      <c r="G98" s="43"/>
      <c r="H98" s="43"/>
      <c r="I98" s="43"/>
      <c r="BO98" s="47">
        <f>'[1]Stress vs Strain Overtime'!B16</f>
        <v>10</v>
      </c>
      <c r="BP98" s="47">
        <f>VLOOKUP(BO98,'[1]Stress vs Strain Overtime'!B16:Q44,15,0)</f>
        <v>27749.760121675859</v>
      </c>
      <c r="BQ98" s="48">
        <v>18</v>
      </c>
      <c r="BR98" s="49"/>
    </row>
    <row r="99" spans="2:70" x14ac:dyDescent="0.3">
      <c r="BO99" s="47">
        <f>'[1]Stress vs Strain Overtime'!B17</f>
        <v>11</v>
      </c>
      <c r="BP99" s="47">
        <f>VLOOKUP(BO99,'[1]Stress vs Strain Overtime'!B17:Q45,15,0)</f>
        <v>28024.832169981921</v>
      </c>
      <c r="BQ99" s="48">
        <v>18</v>
      </c>
      <c r="BR99" s="49"/>
    </row>
    <row r="100" spans="2:70" x14ac:dyDescent="0.3">
      <c r="B100" t="s">
        <v>64</v>
      </c>
      <c r="BO100" s="47">
        <f>'[1]Stress vs Strain Overtime'!B18</f>
        <v>12</v>
      </c>
      <c r="BP100" s="47">
        <f>VLOOKUP(BO100,'[1]Stress vs Strain Overtime'!B18:Q46,15,0)</f>
        <v>28266.985680624181</v>
      </c>
      <c r="BQ100" s="48">
        <v>18</v>
      </c>
      <c r="BR100" s="49"/>
    </row>
    <row r="101" spans="2:70" x14ac:dyDescent="0.3">
      <c r="B101" s="18" t="s">
        <v>30</v>
      </c>
      <c r="C101" s="18" t="s">
        <v>61</v>
      </c>
      <c r="D101" s="18" t="s">
        <v>31</v>
      </c>
      <c r="E101" s="19" t="s">
        <v>25</v>
      </c>
      <c r="F101" s="20">
        <v>0</v>
      </c>
      <c r="G101" s="20">
        <v>1</v>
      </c>
      <c r="H101" s="21">
        <v>2</v>
      </c>
      <c r="I101" s="21"/>
      <c r="J101" s="21">
        <v>3</v>
      </c>
      <c r="K101" s="21"/>
      <c r="L101" s="21">
        <v>4</v>
      </c>
      <c r="M101" s="21"/>
      <c r="N101" s="21">
        <v>5</v>
      </c>
      <c r="O101" s="21"/>
      <c r="P101" s="21">
        <v>6</v>
      </c>
      <c r="Q101" s="21"/>
      <c r="R101" s="21">
        <v>7</v>
      </c>
      <c r="S101" s="21"/>
      <c r="T101" s="51">
        <v>8</v>
      </c>
      <c r="U101" s="52"/>
      <c r="V101" s="51">
        <v>9</v>
      </c>
      <c r="W101" s="52"/>
      <c r="X101" s="21">
        <v>10</v>
      </c>
      <c r="Y101" s="21"/>
      <c r="Z101" s="21">
        <v>11</v>
      </c>
      <c r="AA101" s="21"/>
      <c r="AB101" s="21">
        <v>12</v>
      </c>
      <c r="AC101" s="21"/>
      <c r="AD101" s="21">
        <v>13</v>
      </c>
      <c r="AE101" s="21"/>
      <c r="AF101" s="21">
        <v>14</v>
      </c>
      <c r="AG101" s="21"/>
      <c r="AH101" s="21">
        <v>15</v>
      </c>
      <c r="AI101" s="21"/>
      <c r="AJ101" s="21">
        <v>16</v>
      </c>
      <c r="AK101" s="21"/>
      <c r="AL101" s="21">
        <v>17</v>
      </c>
      <c r="AM101" s="21"/>
      <c r="AN101" s="21">
        <v>18</v>
      </c>
      <c r="AO101" s="21"/>
      <c r="AP101" s="21">
        <v>19</v>
      </c>
      <c r="AQ101" s="21"/>
      <c r="AR101" s="21">
        <v>20</v>
      </c>
      <c r="AS101" s="21"/>
      <c r="AT101" s="21">
        <v>21</v>
      </c>
      <c r="AU101" s="21"/>
      <c r="AV101" s="20">
        <v>22</v>
      </c>
      <c r="AW101" s="20"/>
      <c r="AX101" s="21">
        <v>23</v>
      </c>
      <c r="AY101" s="21"/>
      <c r="AZ101" s="21">
        <v>24</v>
      </c>
      <c r="BA101" s="21"/>
      <c r="BB101" s="21">
        <v>25</v>
      </c>
      <c r="BC101" s="21"/>
      <c r="BD101" s="21">
        <v>26</v>
      </c>
      <c r="BE101" s="21"/>
      <c r="BF101" s="21">
        <v>27</v>
      </c>
      <c r="BG101" s="21"/>
      <c r="BH101" s="21">
        <v>28</v>
      </c>
      <c r="BI101" s="21"/>
      <c r="BO101" s="47">
        <f>'[1]Stress vs Strain Overtime'!B19</f>
        <v>13</v>
      </c>
      <c r="BP101" s="47">
        <f>VLOOKUP(BO101,'[1]Stress vs Strain Overtime'!B19:Q47,15,0)</f>
        <v>28482.367878845871</v>
      </c>
      <c r="BQ101" s="48">
        <v>18</v>
      </c>
      <c r="BR101" s="49"/>
    </row>
    <row r="102" spans="2:70" x14ac:dyDescent="0.3">
      <c r="B102" s="18"/>
      <c r="C102" s="18"/>
      <c r="D102" s="18"/>
      <c r="E102" s="18" t="s">
        <v>32</v>
      </c>
      <c r="F102" s="22" t="s">
        <v>33</v>
      </c>
      <c r="G102" s="22">
        <f>G3</f>
        <v>16.385650224215247</v>
      </c>
      <c r="H102" s="22" t="s">
        <v>33</v>
      </c>
      <c r="I102" s="22">
        <f>I3</f>
        <v>3.6412556053811649</v>
      </c>
      <c r="J102" s="22" t="s">
        <v>34</v>
      </c>
      <c r="K102" s="22">
        <f>K3</f>
        <v>4.0053811659192817</v>
      </c>
      <c r="L102" s="22" t="s">
        <v>34</v>
      </c>
      <c r="M102" s="22">
        <f>M3</f>
        <v>1.2744394618834107</v>
      </c>
      <c r="N102" s="22" t="s">
        <v>34</v>
      </c>
      <c r="O102" s="22">
        <f>O3</f>
        <v>1.638565022421524</v>
      </c>
      <c r="P102" s="22" t="s">
        <v>34</v>
      </c>
      <c r="Q102" s="22">
        <f>Q3</f>
        <v>1.638565022421524</v>
      </c>
      <c r="R102" s="22" t="s">
        <v>34</v>
      </c>
      <c r="S102" s="22">
        <f>S3</f>
        <v>1.4565022421524674</v>
      </c>
      <c r="T102" s="22" t="s">
        <v>34</v>
      </c>
      <c r="U102" s="22">
        <f>U3</f>
        <v>0.72825112107623013</v>
      </c>
      <c r="V102" s="22" t="s">
        <v>34</v>
      </c>
      <c r="W102" s="22">
        <f>W3</f>
        <v>0.91031390134529033</v>
      </c>
      <c r="X102" s="22" t="s">
        <v>34</v>
      </c>
      <c r="Y102" s="22">
        <f>Y3</f>
        <v>0.72825112107623369</v>
      </c>
      <c r="Z102" s="22" t="s">
        <v>34</v>
      </c>
      <c r="AA102" s="22">
        <f>AA3</f>
        <v>0.3641255605381204</v>
      </c>
      <c r="AB102" s="22" t="s">
        <v>34</v>
      </c>
      <c r="AC102" s="22">
        <f>AC3</f>
        <v>0.63721973094170181</v>
      </c>
      <c r="AD102" s="22" t="s">
        <v>34</v>
      </c>
      <c r="AE102" s="22">
        <f>AE3</f>
        <v>0.81928251121076556</v>
      </c>
      <c r="AF102" s="22" t="s">
        <v>34</v>
      </c>
      <c r="AG102" s="22">
        <f>AG3</f>
        <v>1.2744394618834036</v>
      </c>
      <c r="AH102" s="22" t="s">
        <v>34</v>
      </c>
      <c r="AI102" s="22">
        <f>AI3</f>
        <v>0.91031390134529033</v>
      </c>
      <c r="AJ102" s="22" t="s">
        <v>34</v>
      </c>
      <c r="AK102" s="22">
        <f>AK3</f>
        <v>0.54618834080718415</v>
      </c>
      <c r="AL102" s="22" t="s">
        <v>34</v>
      </c>
      <c r="AM102" s="22">
        <f>AM3</f>
        <v>0.36412556053811329</v>
      </c>
      <c r="AN102" s="22" t="s">
        <v>34</v>
      </c>
      <c r="AO102" s="22">
        <f>AO3</f>
        <v>0.54618834080717704</v>
      </c>
      <c r="AP102" s="22" t="s">
        <v>34</v>
      </c>
      <c r="AQ102" s="22">
        <f>AQ3</f>
        <v>0.18206278026904954</v>
      </c>
      <c r="AR102" s="22" t="s">
        <v>34</v>
      </c>
      <c r="AS102" s="22">
        <f>AS3</f>
        <v>0.18206278026906375</v>
      </c>
      <c r="AT102" s="22" t="s">
        <v>34</v>
      </c>
      <c r="AU102" s="22">
        <f>AU3</f>
        <v>0.54618834080717704</v>
      </c>
      <c r="AV102" s="22" t="s">
        <v>34</v>
      </c>
      <c r="AW102" s="22">
        <f>AW3</f>
        <v>0.27309417040358142</v>
      </c>
      <c r="AX102" s="22" t="s">
        <v>34</v>
      </c>
      <c r="AY102" s="22">
        <f>AY3</f>
        <v>0.27309417040358852</v>
      </c>
      <c r="AZ102" s="22" t="s">
        <v>34</v>
      </c>
      <c r="BA102" s="22">
        <f>BA3</f>
        <v>0.18206278026905665</v>
      </c>
      <c r="BB102" s="22" t="s">
        <v>34</v>
      </c>
      <c r="BC102" s="22">
        <f>BC3</f>
        <v>0.18206278026906375</v>
      </c>
      <c r="BD102" s="22" t="s">
        <v>34</v>
      </c>
      <c r="BE102" s="22">
        <f>BE3</f>
        <v>0.18206278026905665</v>
      </c>
      <c r="BF102" s="22" t="s">
        <v>34</v>
      </c>
      <c r="BG102" s="22">
        <f>BG3</f>
        <v>9.103139013452477E-2</v>
      </c>
      <c r="BH102" s="22" t="s">
        <v>34</v>
      </c>
      <c r="BI102" s="22">
        <f>BI3</f>
        <v>9.1031390134531875E-2</v>
      </c>
      <c r="BO102" s="47">
        <f>'[1]Stress vs Strain Overtime'!B20</f>
        <v>14</v>
      </c>
      <c r="BP102" s="47">
        <f>VLOOKUP(BO102,'[1]Stress vs Strain Overtime'!B20:Q48,15,0)</f>
        <v>28675.62192057486</v>
      </c>
      <c r="BQ102" s="48">
        <v>18</v>
      </c>
      <c r="BR102" s="49"/>
    </row>
    <row r="103" spans="2:70" x14ac:dyDescent="0.3">
      <c r="B103" s="18"/>
      <c r="C103" s="18"/>
      <c r="D103" s="18"/>
      <c r="E103" s="18"/>
      <c r="F103" s="22"/>
      <c r="G103" s="22"/>
      <c r="H103" s="22"/>
      <c r="I103" s="22"/>
      <c r="J103" s="22" t="s">
        <v>58</v>
      </c>
      <c r="K103" s="22">
        <f>K4</f>
        <v>16.385650224215247</v>
      </c>
      <c r="L103" s="22" t="s">
        <v>58</v>
      </c>
      <c r="M103" s="22">
        <f>M4</f>
        <v>3.6412556053811649</v>
      </c>
      <c r="N103" s="22" t="s">
        <v>58</v>
      </c>
      <c r="O103" s="22">
        <f>O4</f>
        <v>4.0053811659192817</v>
      </c>
      <c r="P103" s="22" t="s">
        <v>58</v>
      </c>
      <c r="Q103" s="22">
        <f>Q4</f>
        <v>1.2744394618834107</v>
      </c>
      <c r="R103" s="22" t="s">
        <v>58</v>
      </c>
      <c r="S103" s="22">
        <f>S4</f>
        <v>1.638565022421524</v>
      </c>
      <c r="T103" s="22" t="s">
        <v>58</v>
      </c>
      <c r="U103" s="22">
        <f>Q102</f>
        <v>1.638565022421524</v>
      </c>
      <c r="V103" s="22" t="s">
        <v>58</v>
      </c>
      <c r="W103" s="22">
        <f>S102</f>
        <v>1.4565022421524674</v>
      </c>
      <c r="X103" s="22" t="s">
        <v>58</v>
      </c>
      <c r="Y103" s="22">
        <f>U102</f>
        <v>0.72825112107623013</v>
      </c>
      <c r="Z103" s="22" t="s">
        <v>58</v>
      </c>
      <c r="AA103" s="22">
        <f>W102</f>
        <v>0.91031390134529033</v>
      </c>
      <c r="AB103" s="22" t="s">
        <v>58</v>
      </c>
      <c r="AC103" s="22">
        <f>Y102</f>
        <v>0.72825112107623369</v>
      </c>
      <c r="AD103" s="22" t="s">
        <v>58</v>
      </c>
      <c r="AE103" s="22">
        <f>AA102</f>
        <v>0.3641255605381204</v>
      </c>
      <c r="AF103" s="22" t="s">
        <v>58</v>
      </c>
      <c r="AG103" s="22">
        <f>AC102</f>
        <v>0.63721973094170181</v>
      </c>
      <c r="AH103" s="22" t="s">
        <v>58</v>
      </c>
      <c r="AI103" s="22">
        <f>AE102</f>
        <v>0.81928251121076556</v>
      </c>
      <c r="AJ103" s="22" t="s">
        <v>58</v>
      </c>
      <c r="AK103" s="22">
        <f>AG102</f>
        <v>1.2744394618834036</v>
      </c>
      <c r="AL103" s="22" t="s">
        <v>58</v>
      </c>
      <c r="AM103" s="22">
        <f>AI102</f>
        <v>0.91031390134529033</v>
      </c>
      <c r="AN103" s="22" t="s">
        <v>58</v>
      </c>
      <c r="AO103" s="22">
        <f>AK102</f>
        <v>0.54618834080718415</v>
      </c>
      <c r="AP103" s="22" t="s">
        <v>58</v>
      </c>
      <c r="AQ103" s="22">
        <f>AM102</f>
        <v>0.36412556053811329</v>
      </c>
      <c r="AR103" s="22" t="s">
        <v>58</v>
      </c>
      <c r="AS103" s="22">
        <f>AO102</f>
        <v>0.54618834080717704</v>
      </c>
      <c r="AT103" s="22" t="s">
        <v>58</v>
      </c>
      <c r="AU103" s="22">
        <f>AQ102</f>
        <v>0.18206278026904954</v>
      </c>
      <c r="AV103" s="22" t="s">
        <v>58</v>
      </c>
      <c r="AW103" s="22">
        <f>AS102</f>
        <v>0.18206278026906375</v>
      </c>
      <c r="AX103" s="22" t="s">
        <v>58</v>
      </c>
      <c r="AY103" s="22">
        <f>AU102</f>
        <v>0.54618834080717704</v>
      </c>
      <c r="AZ103" s="22" t="s">
        <v>58</v>
      </c>
      <c r="BA103" s="22">
        <f>AW102</f>
        <v>0.27309417040358142</v>
      </c>
      <c r="BB103" s="22" t="s">
        <v>58</v>
      </c>
      <c r="BC103" s="22">
        <f>AY102</f>
        <v>0.27309417040358852</v>
      </c>
      <c r="BD103" s="22" t="s">
        <v>58</v>
      </c>
      <c r="BE103" s="22">
        <f>BA102</f>
        <v>0.18206278026905665</v>
      </c>
      <c r="BF103" s="22" t="s">
        <v>58</v>
      </c>
      <c r="BG103" s="22">
        <f>BC102</f>
        <v>0.18206278026906375</v>
      </c>
      <c r="BH103" s="22" t="s">
        <v>58</v>
      </c>
      <c r="BI103" s="22">
        <f>BE102</f>
        <v>0.18206278026905665</v>
      </c>
      <c r="BO103" s="47">
        <v>15</v>
      </c>
      <c r="BP103" s="47">
        <f>VLOOKUP(BO103,'[1]Stress vs Strain Overtime'!B21:Q49,15,0)</f>
        <v>28850.330720681679</v>
      </c>
      <c r="BQ103" s="48">
        <v>18</v>
      </c>
      <c r="BR103" s="49"/>
    </row>
    <row r="104" spans="2:70" x14ac:dyDescent="0.3">
      <c r="B104" s="23" t="s">
        <v>35</v>
      </c>
      <c r="C104" s="14">
        <v>8</v>
      </c>
      <c r="D104" s="59" t="s">
        <v>62</v>
      </c>
      <c r="E104" s="25">
        <v>8</v>
      </c>
      <c r="F104" s="53"/>
      <c r="G104" s="53"/>
      <c r="H104" s="53"/>
      <c r="I104" s="53"/>
      <c r="J104" s="53"/>
      <c r="K104" s="5">
        <f>$F$97*$F$96*$F$95*$F$88*$BP$89*($F$98+K5-18)</f>
        <v>-0.25667670537231302</v>
      </c>
      <c r="L104" s="53"/>
      <c r="M104" s="5">
        <f>$F$97*$F$96*$F$95*$F$88*$BP$90*($F$98+M5-18)</f>
        <v>-0.31235209685226822</v>
      </c>
      <c r="N104" s="53"/>
      <c r="O104" s="5">
        <f t="shared" ref="O104:O122" si="193">$F$95*$F$96*$F$97*$F$88*VLOOKUP(N$2,$BO$89:$BR$116,2,0)*($F$98+O5-(VLOOKUP(N$101,$BO$89:$BR$116,3,0)))</f>
        <v>-0.37178892737601144</v>
      </c>
      <c r="P104" s="53"/>
      <c r="Q104" s="5">
        <f t="shared" ref="Q104:Q122" si="194">$F$95*$F$96*$F$97*$F$88*VLOOKUP(P$2,$BO$89:$BR$116,2,0)*($F$98+Q5-(VLOOKUP(P$101,$BO$89:$BR$116,3,0)))</f>
        <v>-0.38162675970370835</v>
      </c>
      <c r="R104" s="53"/>
      <c r="S104" s="5">
        <f>$F$95*$F$96*$F$97*$F$88*VLOOKUP(R$2,$BO$89:$BR$116,2,0)*($F$98+S5-(VLOOKUP(R$101,$BO$89:$BR$116,3,0)))</f>
        <v>-0.38945214796236571</v>
      </c>
      <c r="T104" s="53"/>
      <c r="U104" s="5">
        <f t="shared" ref="U104:U122" si="195">$F$95*$F$96*$F$97*$F$88*VLOOKUP(T$2,$BO$89:$BR$116,2,0)*($F$98+U5-(VLOOKUP(T$101,$BO$89:$BR$116,3,0)))</f>
        <v>-0.39587666137348226</v>
      </c>
      <c r="V104" s="53"/>
      <c r="W104" s="5">
        <f t="shared" ref="W104:W122" si="196">$F$95*$F$96*$F$97*$F$88*VLOOKUP(V$2,$BO$89:$BR$116,2,0)*($F$98+W5-(VLOOKUP(V$101,$BO$89:$BR$116,3,0)))</f>
        <v>-0.40127835413438284</v>
      </c>
      <c r="X104" s="53"/>
      <c r="Y104" s="5">
        <f t="shared" ref="Y104:Y122" si="197">$F$95*$F$96*$F$97*$F$88*VLOOKUP(X$2,$BO$89:$BR$116,2,0)*($F$98+Y5-(VLOOKUP(X$101,$BO$89:$BR$116,3,0)))</f>
        <v>-0.40590553603661594</v>
      </c>
      <c r="Z104" s="53"/>
      <c r="AA104" s="5">
        <f t="shared" ref="AA104:AA122" si="198">$F$95*$F$96*$F$97*$F$88*VLOOKUP(Z$2,$BO$89:$BR$116,2,0)*($F$98+AA5-(VLOOKUP(Z$101,$BO$89:$BR$116,3,0)))</f>
        <v>-0.40992911197841836</v>
      </c>
      <c r="AB104" s="53"/>
      <c r="AC104" s="5">
        <f t="shared" ref="AC104:AC122" si="199">$F$95*$F$96*$F$97*$F$88*VLOOKUP(AB$2,$BO$89:$BR$116,2,0)*($F$98+AC5-(VLOOKUP(AB$101,$BO$89:$BR$116,3,0)))</f>
        <v>-0.41347117685066986</v>
      </c>
      <c r="AD104" s="53"/>
      <c r="AE104" s="5">
        <f t="shared" ref="AE104:AE122" si="200">$F$95*$F$96*$F$97*$F$88*VLOOKUP(AD$2,$BO$89:$BR$116,2,0)*($F$98+AE5-(VLOOKUP(AD$101,$BO$89:$BR$116,3,0)))</f>
        <v>-0.41662164828676818</v>
      </c>
      <c r="AF104" s="53"/>
      <c r="AG104" s="5">
        <f t="shared" ref="AG104:AG122" si="201">$F$95*$F$96*$F$97*$F$88*VLOOKUP(AF$2,$BO$89:$BR$116,2,0)*($F$98+AG5-(VLOOKUP(AF$101,$BO$89:$BR$116,3,0)))</f>
        <v>-0.41944844336734888</v>
      </c>
      <c r="AH104" s="53"/>
      <c r="AI104" s="5">
        <f t="shared" ref="AI104:AI122" si="202">$F$95*$F$96*$F$97*$F$88*VLOOKUP(AH$2,$BO$89:$BR$116,2,0)*($F$98+AI5-(VLOOKUP(AH$101,$BO$89:$BR$116,3,0)))</f>
        <v>-0.42200397065287232</v>
      </c>
      <c r="AJ104" s="53"/>
      <c r="AK104" s="5">
        <f t="shared" ref="AK104:AK122" si="203">$F$95*$F$96*$F$97*$F$88*VLOOKUP(AJ$2,$BO$89:$BR$116,2,0)*($F$98+AK5-(VLOOKUP(AJ$101,$BO$89:$BR$116,3,0)))</f>
        <v>-0.42432941949927377</v>
      </c>
      <c r="AL104" s="53"/>
      <c r="AM104" s="5">
        <f t="shared" ref="AM104:AM122" si="204">$F$95*$F$96*$F$97*$F$88*VLOOKUP(AL$2,$BO$89:$BR$116,2,0)*($F$98+AM5-(VLOOKUP(AL$101,$BO$89:$BR$116,3,0)))</f>
        <v>-0.42645768007253521</v>
      </c>
      <c r="AN104" s="53"/>
      <c r="AO104" s="5">
        <f t="shared" ref="AO104:AO122" si="205">$F$95*$F$96*$F$97*$F$88*VLOOKUP(AN$2,$BO$89:$BR$116,2,0)*($F$98+AO5-(VLOOKUP(AN$101,$BO$89:$BR$116,3,0)))</f>
        <v>-0.42841538318653166</v>
      </c>
      <c r="AP104" s="53"/>
      <c r="AQ104" s="5">
        <f t="shared" ref="AQ104:AQ122" si="206">$F$95*$F$96*$F$97*$F$88*VLOOKUP(AP$2,$BO$89:$BR$116,2,0)*($F$98+AQ5-(VLOOKUP(AP$101,$BO$89:$BR$116,3,0)))</f>
        <v>-0.43022435773682094</v>
      </c>
      <c r="AR104" s="53"/>
      <c r="AS104" s="5">
        <f t="shared" ref="AS104:AS122" si="207">$F$95*$F$96*$F$97*$F$88*VLOOKUP(AR$2,$BO$89:$BR$116,2,0)*($F$98+AS5-(VLOOKUP(AR$101,$BO$89:$BR$116,3,0)))</f>
        <v>-0.43190269287011385</v>
      </c>
      <c r="AT104" s="53"/>
      <c r="AU104" s="5">
        <f t="shared" ref="AU104:AU122" si="208">$F$95*$F$96*$F$97*$F$88*VLOOKUP(AT$2,$BO$89:$BR$116,2,0)*($F$98+AU5-(VLOOKUP(AT$101,$BO$89:$BR$116,3,0)))</f>
        <v>-0.43346552582795728</v>
      </c>
      <c r="AV104" s="53"/>
      <c r="AW104" s="5">
        <f t="shared" ref="AW104:AW122" si="209">$F$95*$F$96*$F$97*$F$88*VLOOKUP(AV$2,$BO$89:$BR$116,2,0)*($F$98+AW5-(VLOOKUP(AV$101,$BO$89:$BR$116,3,0)))</f>
        <v>-0.43492563557385117</v>
      </c>
      <c r="AX104" s="53"/>
      <c r="AY104" s="5">
        <f t="shared" ref="AY104:AY122" si="210">$F$95*$F$96*$F$97*$F$88*VLOOKUP(AX$2,$BO$89:$BR$116,2,0)*($F$98+AY5-(VLOOKUP(AX$101,$BO$89:$BR$116,3,0)))</f>
        <v>-0.43629389644799238</v>
      </c>
      <c r="AZ104" s="53"/>
      <c r="BA104" s="5">
        <f t="shared" ref="BA104:BA167" si="211">$F$95*$F$96*$F$97*$F$88*VLOOKUP(AZ$2,$BO$89:$BR$116,2,0)*($F$98+BA5-(VLOOKUP(AZ$101,$BO$89:$BR$116,3,0)))</f>
        <v>-0.43757962931187266</v>
      </c>
      <c r="BB104" s="53"/>
      <c r="BC104" s="5">
        <f t="shared" ref="BC104:BC167" si="212">$F$95*$F$96*$F$97*$F$88*VLOOKUP(BB$2,$BO$89:$BR$116,2,0)*($F$98+BC5-(VLOOKUP(BB$101,$BO$89:$BR$116,3,0)))</f>
        <v>-0.4387908765197453</v>
      </c>
      <c r="BD104" s="53"/>
      <c r="BE104" s="5">
        <f t="shared" ref="BE104:BE167" si="213">$F$95*$F$96*$F$97*$F$88*VLOOKUP(BD$2,$BO$89:$BR$116,2,0)*($F$98+BE5-(VLOOKUP(BD$101,$BO$89:$BR$116,3,0)))</f>
        <v>-0.4399346195340742</v>
      </c>
      <c r="BF104" s="53"/>
      <c r="BG104" s="5">
        <f t="shared" ref="BG104:BG167" si="214">$F$95*$F$96*$F$97*$F$88*VLOOKUP(BF$2,$BO$89:$BR$116,2,0)*($F$98+BG5-(VLOOKUP(BF$101,$BO$89:$BR$116,3,0)))</f>
        <v>-0.44101695282863268</v>
      </c>
      <c r="BH104" s="53"/>
      <c r="BI104" s="5">
        <f t="shared" ref="BI104:BI167" si="215">$F$95*$F$96*$F$97*$F$88*VLOOKUP(BH$2,$BO$89:$BR$116,2,0)*($F$98+BI5-(VLOOKUP(BH$101,$BO$89:$BR$116,3,0)))</f>
        <v>-0.44204322410596897</v>
      </c>
      <c r="BO104" s="47">
        <f>'[1]Stress vs Strain Overtime'!B22</f>
        <v>16</v>
      </c>
      <c r="BP104" s="47">
        <f>VLOOKUP(BO104,'[1]Stress vs Strain Overtime'!B22:Q50,15,0)</f>
        <v>29009.310192341425</v>
      </c>
      <c r="BQ104" s="48">
        <v>18</v>
      </c>
      <c r="BR104" s="49"/>
    </row>
    <row r="105" spans="2:70" x14ac:dyDescent="0.3">
      <c r="B105" s="23"/>
      <c r="C105" s="14">
        <f>C104-0.2</f>
        <v>7.8</v>
      </c>
      <c r="D105" s="59"/>
      <c r="E105" s="25">
        <f>E104-0.2</f>
        <v>7.8</v>
      </c>
      <c r="F105" s="5"/>
      <c r="G105" s="5"/>
      <c r="H105" s="5"/>
      <c r="I105" s="5"/>
      <c r="J105" s="5"/>
      <c r="K105" s="5">
        <f t="shared" ref="K105:K146" si="216">$F$97*$F$96*$F$95*$F$88*$BP$89*($F$98+K6-18)</f>
        <v>0.30600696306685238</v>
      </c>
      <c r="L105" s="5"/>
      <c r="M105" s="5">
        <f t="shared" ref="M105:M147" si="217">$F$97*$F$96*$F$95*$F$88*$BP$90*($F$98+M6-18)</f>
        <v>0.18217845468019442</v>
      </c>
      <c r="N105" s="5"/>
      <c r="O105" s="5">
        <f t="shared" si="193"/>
        <v>0.32551565822846756</v>
      </c>
      <c r="P105" s="5"/>
      <c r="Q105" s="5">
        <f t="shared" si="194"/>
        <v>0.19237222786456895</v>
      </c>
      <c r="R105" s="5"/>
      <c r="S105" s="5">
        <f t="shared" ref="S105:S122" si="218">$F$95*$F$96*$F$97*$F$88*VLOOKUP(R$2,$BO$89:$BR$116,2,0)*($F$98+S6-$BQ$89)</f>
        <v>0.22477530134969115</v>
      </c>
      <c r="T105" s="5"/>
      <c r="U105" s="5">
        <f t="shared" si="195"/>
        <v>0.1911180896979478</v>
      </c>
      <c r="V105" s="5"/>
      <c r="W105" s="5">
        <f t="shared" si="196"/>
        <v>0.20716539522112512</v>
      </c>
      <c r="X105" s="5"/>
      <c r="Y105" s="5">
        <f t="shared" si="197"/>
        <v>0.15007833352788183</v>
      </c>
      <c r="Z105" s="5"/>
      <c r="AA105" s="5">
        <f t="shared" si="198"/>
        <v>0.15811859526419494</v>
      </c>
      <c r="AB105" s="5"/>
      <c r="AC105" s="5">
        <f t="shared" si="199"/>
        <v>0.12541591552833761</v>
      </c>
      <c r="AD105" s="5"/>
      <c r="AE105" s="5">
        <f t="shared" si="200"/>
        <v>0.10726489363520778</v>
      </c>
      <c r="AF105" s="5"/>
      <c r="AG105" s="5">
        <f t="shared" si="201"/>
        <v>9.3445755344482948E-2</v>
      </c>
      <c r="AH105" s="5"/>
      <c r="AI105" s="5">
        <f t="shared" si="202"/>
        <v>0.10477593528955879</v>
      </c>
      <c r="AJ105" s="5"/>
      <c r="AK105" s="5">
        <f t="shared" si="203"/>
        <v>0.12320856970534627</v>
      </c>
      <c r="AL105" s="5"/>
      <c r="AM105" s="5">
        <f t="shared" si="204"/>
        <v>0.12324832206790431</v>
      </c>
      <c r="AN105" s="5"/>
      <c r="AO105" s="5">
        <f t="shared" si="205"/>
        <v>9.9615852653672843E-2</v>
      </c>
      <c r="AP105" s="5"/>
      <c r="AQ105" s="5">
        <f t="shared" si="206"/>
        <v>8.5170828624056907E-2</v>
      </c>
      <c r="AR105" s="5"/>
      <c r="AS105" s="5">
        <f t="shared" si="207"/>
        <v>7.8137900840515209E-2</v>
      </c>
      <c r="AT105" s="5"/>
      <c r="AU105" s="5">
        <f t="shared" si="208"/>
        <v>5.6296043136057183E-2</v>
      </c>
      <c r="AV105" s="5"/>
      <c r="AW105" s="5">
        <f t="shared" si="209"/>
        <v>3.8297411192495925E-2</v>
      </c>
      <c r="AX105" s="5"/>
      <c r="AY105" s="5">
        <f t="shared" si="210"/>
        <v>4.9493278506691128E-2</v>
      </c>
      <c r="AZ105" s="5"/>
      <c r="BA105" s="5">
        <f t="shared" si="211"/>
        <v>3.0265373664992309E-2</v>
      </c>
      <c r="BB105" s="5"/>
      <c r="BC105" s="5">
        <f t="shared" si="212"/>
        <v>2.6254818981115743E-2</v>
      </c>
      <c r="BD105" s="5"/>
      <c r="BE105" s="5">
        <f t="shared" si="213"/>
        <v>9.5000619025276626E-3</v>
      </c>
      <c r="BF105" s="5"/>
      <c r="BG105" s="5">
        <f t="shared" si="214"/>
        <v>3.8821855779639504E-3</v>
      </c>
      <c r="BH105" s="5"/>
      <c r="BI105" s="5">
        <f t="shared" si="215"/>
        <v>-7.7676684395835555E-3</v>
      </c>
      <c r="BO105" s="47">
        <f>'[1]Stress vs Strain Overtime'!B23</f>
        <v>17</v>
      </c>
      <c r="BP105" s="47">
        <f>VLOOKUP(BO105,'[1]Stress vs Strain Overtime'!B23:Q51,15,0)</f>
        <v>29154.808874032475</v>
      </c>
      <c r="BQ105" s="48">
        <v>18</v>
      </c>
      <c r="BR105" s="49"/>
    </row>
    <row r="106" spans="2:70" x14ac:dyDescent="0.3">
      <c r="B106" s="23"/>
      <c r="C106" s="14">
        <f t="shared" ref="C106:C138" si="219">C105-0.2</f>
        <v>7.6</v>
      </c>
      <c r="D106" s="59"/>
      <c r="E106" s="25">
        <f t="shared" ref="E106:E143" si="220">E105-0.2</f>
        <v>7.6</v>
      </c>
      <c r="F106" s="5"/>
      <c r="G106" s="5"/>
      <c r="H106" s="5"/>
      <c r="I106" s="5"/>
      <c r="J106" s="5"/>
      <c r="K106" s="5">
        <f t="shared" si="216"/>
        <v>0.30600696306685238</v>
      </c>
      <c r="L106" s="5"/>
      <c r="M106" s="5">
        <f t="shared" si="217"/>
        <v>0.524545759587284</v>
      </c>
      <c r="N106" s="5"/>
      <c r="O106" s="5">
        <f>$F$95*$F$96*$F$97*$F$88*VLOOKUP(N$2,$BO$89:$BR$116,2,0)*($F$98+O7-(VLOOKUP(N$101,$BO$89:$BR$116,3,0)))</f>
        <v>0.61983252877581285</v>
      </c>
      <c r="P106" s="5"/>
      <c r="Q106" s="5">
        <f t="shared" si="194"/>
        <v>0.65482485347625774</v>
      </c>
      <c r="R106" s="5"/>
      <c r="S106" s="5">
        <f t="shared" si="218"/>
        <v>0.59473469166892223</v>
      </c>
      <c r="T106" s="5"/>
      <c r="U106" s="5">
        <f t="shared" si="195"/>
        <v>0.65034806948894319</v>
      </c>
      <c r="V106" s="5"/>
      <c r="W106" s="5">
        <f t="shared" si="196"/>
        <v>0.61981976539145189</v>
      </c>
      <c r="X106" s="5"/>
      <c r="Y106" s="5">
        <f t="shared" si="197"/>
        <v>0.62016972421550798</v>
      </c>
      <c r="Z106" s="5"/>
      <c r="AA106" s="5">
        <f t="shared" si="198"/>
        <v>0.57873288219802788</v>
      </c>
      <c r="AB106" s="5"/>
      <c r="AC106" s="5">
        <f t="shared" si="199"/>
        <v>0.58609395989672575</v>
      </c>
      <c r="AD106" s="5"/>
      <c r="AE106" s="5">
        <f t="shared" si="200"/>
        <v>0.53121817494994228</v>
      </c>
      <c r="AF106" s="5"/>
      <c r="AG106" s="5">
        <f t="shared" si="201"/>
        <v>0.53578033507623357</v>
      </c>
      <c r="AH106" s="5"/>
      <c r="AI106" s="5">
        <f t="shared" si="202"/>
        <v>0.5231643357560497</v>
      </c>
      <c r="AJ106" s="5"/>
      <c r="AK106" s="5">
        <f t="shared" si="203"/>
        <v>0.56623924347824439</v>
      </c>
      <c r="AL106" s="5"/>
      <c r="AM106" s="5">
        <f t="shared" si="204"/>
        <v>0.56245393309252734</v>
      </c>
      <c r="AN106" s="5"/>
      <c r="AO106" s="5">
        <f t="shared" si="205"/>
        <v>0.5563000369529878</v>
      </c>
      <c r="AP106" s="5"/>
      <c r="AQ106" s="5">
        <f t="shared" si="206"/>
        <v>0.52301736565870238</v>
      </c>
      <c r="AR106" s="5"/>
      <c r="AS106" s="5">
        <f t="shared" si="207"/>
        <v>0.52304856812613043</v>
      </c>
      <c r="AT106" s="5"/>
      <c r="AU106" s="5">
        <f t="shared" si="208"/>
        <v>0.48868680692467203</v>
      </c>
      <c r="AV106" s="5"/>
      <c r="AW106" s="5">
        <f t="shared" si="209"/>
        <v>0.47003916851629551</v>
      </c>
      <c r="AX106" s="5"/>
      <c r="AY106" s="5">
        <f t="shared" si="210"/>
        <v>0.46476550824060209</v>
      </c>
      <c r="AZ106" s="5"/>
      <c r="BA106" s="5">
        <f t="shared" si="211"/>
        <v>0.45796908726261554</v>
      </c>
      <c r="BB106" s="5"/>
      <c r="BC106" s="5">
        <f t="shared" si="212"/>
        <v>0.43636577659789499</v>
      </c>
      <c r="BD106" s="5"/>
      <c r="BE106" s="5">
        <f t="shared" si="213"/>
        <v>0.42624839061431552</v>
      </c>
      <c r="BF106" s="5"/>
      <c r="BG106" s="5">
        <f t="shared" si="214"/>
        <v>0.40403341249428004</v>
      </c>
      <c r="BH106" s="5"/>
      <c r="BI106" s="5">
        <f t="shared" si="215"/>
        <v>0.3966513875693839</v>
      </c>
      <c r="BO106" s="47">
        <f>'[1]Stress vs Strain Overtime'!B24</f>
        <v>18</v>
      </c>
      <c r="BP106" s="47">
        <f>VLOOKUP(BO106,'[1]Stress vs Strain Overtime'!B24:Q52,15,0)</f>
        <v>29288.647383192296</v>
      </c>
      <c r="BQ106" s="48">
        <v>18</v>
      </c>
      <c r="BR106" s="49"/>
    </row>
    <row r="107" spans="2:70" x14ac:dyDescent="0.3">
      <c r="B107" s="23"/>
      <c r="C107" s="14">
        <f t="shared" si="219"/>
        <v>7.3999999999999995</v>
      </c>
      <c r="D107" s="59"/>
      <c r="E107" s="25">
        <f t="shared" si="220"/>
        <v>7.3999999999999995</v>
      </c>
      <c r="F107" s="5"/>
      <c r="G107" s="5"/>
      <c r="H107" s="5"/>
      <c r="I107" s="5"/>
      <c r="J107" s="5"/>
      <c r="K107" s="5">
        <f t="shared" si="216"/>
        <v>0.30600696306685238</v>
      </c>
      <c r="L107" s="5"/>
      <c r="M107" s="5">
        <f t="shared" si="217"/>
        <v>0.524545759587284</v>
      </c>
      <c r="N107" s="5"/>
      <c r="O107" s="5">
        <f t="shared" si="193"/>
        <v>0.82359036223166704</v>
      </c>
      <c r="P107" s="5"/>
      <c r="Q107" s="5">
        <f t="shared" si="194"/>
        <v>0.80587721862580408</v>
      </c>
      <c r="R107" s="5"/>
      <c r="S107" s="5">
        <f t="shared" si="218"/>
        <v>0.88406190717498778</v>
      </c>
      <c r="T107" s="5"/>
      <c r="U107" s="5">
        <f t="shared" si="195"/>
        <v>0.87755240332254614</v>
      </c>
      <c r="V107" s="5"/>
      <c r="W107" s="5">
        <f t="shared" si="196"/>
        <v>0.94084104077932285</v>
      </c>
      <c r="X107" s="5"/>
      <c r="Y107" s="5">
        <f t="shared" si="197"/>
        <v>0.89715752030585094</v>
      </c>
      <c r="Z107" s="5"/>
      <c r="AA107" s="5">
        <f t="shared" si="198"/>
        <v>0.92414832406431346</v>
      </c>
      <c r="AB107" s="5"/>
      <c r="AC107" s="5">
        <f t="shared" si="199"/>
        <v>0.88870160441266421</v>
      </c>
      <c r="AD107" s="5"/>
      <c r="AE107" s="5">
        <f t="shared" si="200"/>
        <v>0.88603872857763655</v>
      </c>
      <c r="AF107" s="5"/>
      <c r="AG107" s="5">
        <f t="shared" si="201"/>
        <v>0.85459567230608768</v>
      </c>
      <c r="AH107" s="5"/>
      <c r="AI107" s="5">
        <f t="shared" si="202"/>
        <v>0.87758990302262563</v>
      </c>
      <c r="AJ107" s="5"/>
      <c r="AK107" s="5">
        <f t="shared" si="203"/>
        <v>0.8927287166713157</v>
      </c>
      <c r="AL107" s="5"/>
      <c r="AM107" s="5">
        <f t="shared" si="204"/>
        <v>0.92194253696046835</v>
      </c>
      <c r="AN107" s="5"/>
      <c r="AO107" s="5">
        <f t="shared" si="205"/>
        <v>0.90027982776572368</v>
      </c>
      <c r="AP107" s="5"/>
      <c r="AQ107" s="5">
        <f t="shared" si="206"/>
        <v>0.89398574795831132</v>
      </c>
      <c r="AR107" s="5"/>
      <c r="AS107" s="5">
        <f t="shared" si="207"/>
        <v>0.87467158605224093</v>
      </c>
      <c r="AT107" s="5"/>
      <c r="AU107" s="5">
        <f t="shared" si="208"/>
        <v>0.85950991061773563</v>
      </c>
      <c r="AV107" s="5"/>
      <c r="AW107" s="5">
        <f t="shared" si="209"/>
        <v>0.82475591152750782</v>
      </c>
      <c r="AX107" s="5"/>
      <c r="AY107" s="5">
        <f t="shared" si="210"/>
        <v>0.83187233122742743</v>
      </c>
      <c r="AZ107" s="5"/>
      <c r="BA107" s="5">
        <f t="shared" si="211"/>
        <v>0.80808184235965608</v>
      </c>
      <c r="BB107" s="5"/>
      <c r="BC107" s="5">
        <f t="shared" si="212"/>
        <v>0.80264981203411445</v>
      </c>
      <c r="BD107" s="5"/>
      <c r="BE107" s="5">
        <f t="shared" si="213"/>
        <v>0.77515207980233214</v>
      </c>
      <c r="BF107" s="5"/>
      <c r="BG107" s="5">
        <f t="shared" si="214"/>
        <v>0.76609454412747702</v>
      </c>
      <c r="BH107" s="5"/>
      <c r="BI107" s="5">
        <f t="shared" si="215"/>
        <v>0.7419199911670743</v>
      </c>
      <c r="BO107" s="47">
        <f>'[1]Stress vs Strain Overtime'!B25</f>
        <v>19</v>
      </c>
      <c r="BP107" s="47">
        <f>VLOOKUP(BO107,'[1]Stress vs Strain Overtime'!B25:Q53,15,0)</f>
        <v>29412.318053779592</v>
      </c>
      <c r="BQ107" s="48">
        <v>18</v>
      </c>
      <c r="BR107" s="49"/>
    </row>
    <row r="108" spans="2:70" x14ac:dyDescent="0.3">
      <c r="B108" s="23"/>
      <c r="C108" s="14">
        <f t="shared" si="219"/>
        <v>7.1999999999999993</v>
      </c>
      <c r="D108" s="59"/>
      <c r="E108" s="25">
        <f t="shared" si="220"/>
        <v>7.1999999999999993</v>
      </c>
      <c r="F108" s="5"/>
      <c r="G108" s="5"/>
      <c r="H108" s="5"/>
      <c r="I108" s="5"/>
      <c r="J108" s="5"/>
      <c r="K108" s="5">
        <f t="shared" si="216"/>
        <v>0.30600696306685238</v>
      </c>
      <c r="L108" s="5"/>
      <c r="M108" s="5">
        <f t="shared" si="217"/>
        <v>0.524545759587284</v>
      </c>
      <c r="N108" s="5"/>
      <c r="O108" s="5">
        <f t="shared" si="193"/>
        <v>0.82359036223166704</v>
      </c>
      <c r="P108" s="5"/>
      <c r="Q108" s="5">
        <f t="shared" si="194"/>
        <v>0.91045193296010585</v>
      </c>
      <c r="R108" s="5"/>
      <c r="S108" s="5">
        <f t="shared" si="218"/>
        <v>0.96113678015816062</v>
      </c>
      <c r="T108" s="5"/>
      <c r="U108" s="5">
        <f t="shared" si="195"/>
        <v>1.051722303794459</v>
      </c>
      <c r="V108" s="5"/>
      <c r="W108" s="5">
        <f t="shared" si="196"/>
        <v>1.075847133758808</v>
      </c>
      <c r="X108" s="5"/>
      <c r="Y108" s="5">
        <f t="shared" si="197"/>
        <v>1.1111163031196409</v>
      </c>
      <c r="Z108" s="5"/>
      <c r="AA108" s="5">
        <f t="shared" si="198"/>
        <v>1.1035646556570093</v>
      </c>
      <c r="AB108" s="5"/>
      <c r="AC108" s="5">
        <f t="shared" si="199"/>
        <v>1.1322983978139503</v>
      </c>
      <c r="AD108" s="5"/>
      <c r="AE108" s="5">
        <f t="shared" si="200"/>
        <v>1.0954189279141888</v>
      </c>
      <c r="AF108" s="5"/>
      <c r="AG108" s="5">
        <f t="shared" si="201"/>
        <v>1.1168196409195643</v>
      </c>
      <c r="AH108" s="5"/>
      <c r="AI108" s="5">
        <f t="shared" si="202"/>
        <v>1.1086019340719435</v>
      </c>
      <c r="AJ108" s="5"/>
      <c r="AK108" s="5">
        <f t="shared" si="203"/>
        <v>1.1650871552246032</v>
      </c>
      <c r="AL108" s="5"/>
      <c r="AM108" s="5">
        <f t="shared" si="204"/>
        <v>1.1675527814765199</v>
      </c>
      <c r="AN108" s="5"/>
      <c r="AO108" s="5">
        <f t="shared" si="205"/>
        <v>1.1824127689727961</v>
      </c>
      <c r="AP108" s="5"/>
      <c r="AQ108" s="5">
        <f t="shared" si="206"/>
        <v>1.1566524957446858</v>
      </c>
      <c r="AR108" s="5"/>
      <c r="AS108" s="5">
        <f t="shared" si="207"/>
        <v>1.1687331669405441</v>
      </c>
      <c r="AT108" s="5"/>
      <c r="AU108" s="5">
        <f t="shared" si="208"/>
        <v>1.1341709596129972</v>
      </c>
      <c r="AV108" s="5"/>
      <c r="AW108" s="5">
        <f t="shared" si="209"/>
        <v>1.1249252334597739</v>
      </c>
      <c r="AX108" s="5"/>
      <c r="AY108" s="5">
        <f t="shared" si="210"/>
        <v>1.1147681508501273</v>
      </c>
      <c r="AZ108" s="5"/>
      <c r="BA108" s="5">
        <f t="shared" si="211"/>
        <v>1.1109240039191488</v>
      </c>
      <c r="BB108" s="5"/>
      <c r="BC108" s="5">
        <f t="shared" si="212"/>
        <v>1.0885320716000302</v>
      </c>
      <c r="BD108" s="5"/>
      <c r="BE108" s="5">
        <f t="shared" si="213"/>
        <v>1.0807488907569551</v>
      </c>
      <c r="BF108" s="5"/>
      <c r="BG108" s="5">
        <f t="shared" si="214"/>
        <v>1.0548773361592614</v>
      </c>
      <c r="BH108" s="5"/>
      <c r="BI108" s="5">
        <f t="shared" si="215"/>
        <v>1.0480866344249209</v>
      </c>
      <c r="BO108" s="47">
        <f>'[1]Stress vs Strain Overtime'!B26</f>
        <v>20</v>
      </c>
      <c r="BP108" s="47">
        <f>VLOOKUP(BO108,'[1]Stress vs Strain Overtime'!B26:Q54,15,0)</f>
        <v>29527.057551563772</v>
      </c>
      <c r="BQ108" s="48">
        <v>18</v>
      </c>
      <c r="BR108" s="49"/>
    </row>
    <row r="109" spans="2:70" x14ac:dyDescent="0.3">
      <c r="B109" s="23"/>
      <c r="C109" s="14">
        <f t="shared" si="219"/>
        <v>6.9999999999999991</v>
      </c>
      <c r="D109" s="59"/>
      <c r="E109" s="25">
        <f t="shared" si="220"/>
        <v>6.9999999999999991</v>
      </c>
      <c r="F109" s="5"/>
      <c r="G109" s="5"/>
      <c r="H109" s="5"/>
      <c r="I109" s="5"/>
      <c r="J109" s="5"/>
      <c r="K109" s="5">
        <f t="shared" si="216"/>
        <v>0.30600696306685238</v>
      </c>
      <c r="L109" s="5"/>
      <c r="M109" s="5">
        <f t="shared" si="217"/>
        <v>0.524545759587284</v>
      </c>
      <c r="N109" s="5"/>
      <c r="O109" s="5">
        <f t="shared" si="193"/>
        <v>0.82359036223166704</v>
      </c>
      <c r="P109" s="5"/>
      <c r="Q109" s="5">
        <f t="shared" si="194"/>
        <v>0.91045193296010585</v>
      </c>
      <c r="R109" s="5"/>
      <c r="S109" s="5">
        <f t="shared" si="218"/>
        <v>1.0144963076080498</v>
      </c>
      <c r="T109" s="5"/>
      <c r="U109" s="5">
        <f t="shared" si="195"/>
        <v>1.0908954648002527</v>
      </c>
      <c r="V109" s="5"/>
      <c r="W109" s="5">
        <f t="shared" si="196"/>
        <v>1.1778653126166092</v>
      </c>
      <c r="X109" s="5"/>
      <c r="Y109" s="5">
        <f t="shared" si="197"/>
        <v>1.1894391210882989</v>
      </c>
      <c r="Z109" s="5"/>
      <c r="AA109" s="5">
        <f t="shared" si="198"/>
        <v>1.2411691812785379</v>
      </c>
      <c r="AB109" s="5"/>
      <c r="AC109" s="5">
        <f t="shared" si="199"/>
        <v>1.2452845074148051</v>
      </c>
      <c r="AD109" s="5"/>
      <c r="AE109" s="5">
        <f t="shared" si="200"/>
        <v>1.2615118917953241</v>
      </c>
      <c r="AF109" s="5"/>
      <c r="AG109" s="5">
        <f t="shared" si="201"/>
        <v>1.2572304890398538</v>
      </c>
      <c r="AH109" s="5"/>
      <c r="AI109" s="5">
        <f t="shared" si="202"/>
        <v>1.2959080367232032</v>
      </c>
      <c r="AJ109" s="5"/>
      <c r="AK109" s="5">
        <f t="shared" si="203"/>
        <v>1.3273667081203309</v>
      </c>
      <c r="AL109" s="5"/>
      <c r="AM109" s="5">
        <f t="shared" si="204"/>
        <v>1.3697515693371005</v>
      </c>
      <c r="AN109" s="5"/>
      <c r="AO109" s="5">
        <f t="shared" si="205"/>
        <v>1.3615575915372382</v>
      </c>
      <c r="AP109" s="5"/>
      <c r="AQ109" s="5">
        <f t="shared" si="206"/>
        <v>1.3715218813554078</v>
      </c>
      <c r="AR109" s="5"/>
      <c r="AS109" s="5">
        <f t="shared" si="207"/>
        <v>1.3644517003915406</v>
      </c>
      <c r="AT109" s="5"/>
      <c r="AU109" s="5">
        <f t="shared" si="208"/>
        <v>1.3616710740816635</v>
      </c>
      <c r="AV109" s="5"/>
      <c r="AW109" s="5">
        <f t="shared" si="209"/>
        <v>1.3342257510716653</v>
      </c>
      <c r="AX109" s="5"/>
      <c r="AY109" s="5">
        <f t="shared" si="210"/>
        <v>1.3515659789244363</v>
      </c>
      <c r="AZ109" s="5"/>
      <c r="BA109" s="5">
        <f t="shared" si="211"/>
        <v>1.3309974576142805</v>
      </c>
      <c r="BB109" s="5"/>
      <c r="BC109" s="5">
        <f t="shared" si="212"/>
        <v>1.3318526755187832</v>
      </c>
      <c r="BD109" s="5"/>
      <c r="BE109" s="5">
        <f t="shared" si="213"/>
        <v>1.3079933379416346</v>
      </c>
      <c r="BF109" s="5"/>
      <c r="BG109" s="5">
        <f t="shared" si="214"/>
        <v>1.3037278652146018</v>
      </c>
      <c r="BH109" s="5"/>
      <c r="BI109" s="5">
        <f t="shared" si="215"/>
        <v>1.2812515527792105</v>
      </c>
      <c r="BO109" s="47">
        <f>'[1]Stress vs Strain Overtime'!B27</f>
        <v>21</v>
      </c>
      <c r="BP109" s="47">
        <f>VLOOKUP(BO109,'[1]Stress vs Strain Overtime'!B27:Q55,15,0)</f>
        <v>29633.900735112988</v>
      </c>
      <c r="BQ109" s="48">
        <v>18</v>
      </c>
      <c r="BR109" s="49"/>
    </row>
    <row r="110" spans="2:70" x14ac:dyDescent="0.3">
      <c r="B110" s="23"/>
      <c r="C110" s="14">
        <f t="shared" si="219"/>
        <v>6.7999999999999989</v>
      </c>
      <c r="D110" s="59"/>
      <c r="E110" s="25">
        <f t="shared" si="220"/>
        <v>6.7999999999999989</v>
      </c>
      <c r="F110" s="5"/>
      <c r="G110" s="5"/>
      <c r="H110" s="5"/>
      <c r="I110" s="5"/>
      <c r="J110" s="5"/>
      <c r="K110" s="5">
        <f t="shared" si="216"/>
        <v>0.30600696306685238</v>
      </c>
      <c r="L110" s="5"/>
      <c r="M110" s="5">
        <f t="shared" si="217"/>
        <v>0.524545759587284</v>
      </c>
      <c r="N110" s="5"/>
      <c r="O110" s="5">
        <f t="shared" si="193"/>
        <v>0.82359036223166704</v>
      </c>
      <c r="P110" s="5"/>
      <c r="Q110" s="5">
        <f t="shared" si="194"/>
        <v>0.91045193296010585</v>
      </c>
      <c r="R110" s="5"/>
      <c r="S110" s="5">
        <f t="shared" si="218"/>
        <v>1.0144963076080498</v>
      </c>
      <c r="T110" s="5"/>
      <c r="U110" s="5">
        <f t="shared" si="195"/>
        <v>1.1180153454965713</v>
      </c>
      <c r="V110" s="5"/>
      <c r="W110" s="5">
        <f t="shared" si="196"/>
        <v>1.1977191498194746</v>
      </c>
      <c r="X110" s="5"/>
      <c r="Y110" s="5">
        <f t="shared" si="197"/>
        <v>1.2479881309701952</v>
      </c>
      <c r="Z110" s="5"/>
      <c r="AA110" s="5">
        <f t="shared" si="198"/>
        <v>1.2857892428746343</v>
      </c>
      <c r="AB110" s="5"/>
      <c r="AC110" s="5">
        <f t="shared" si="199"/>
        <v>1.3313616689073788</v>
      </c>
      <c r="AD110" s="5"/>
      <c r="AE110" s="5">
        <f t="shared" si="200"/>
        <v>1.3310608429002044</v>
      </c>
      <c r="AF110" s="5"/>
      <c r="AG110" s="5">
        <f t="shared" si="201"/>
        <v>1.3673501885142822</v>
      </c>
      <c r="AH110" s="5"/>
      <c r="AI110" s="5">
        <f t="shared" si="202"/>
        <v>1.3876764330059439</v>
      </c>
      <c r="AJ110" s="5"/>
      <c r="AK110" s="5">
        <f t="shared" si="203"/>
        <v>1.4573876768824123</v>
      </c>
      <c r="AL110" s="5"/>
      <c r="AM110" s="5">
        <f t="shared" si="204"/>
        <v>1.4807937160568432</v>
      </c>
      <c r="AN110" s="5"/>
      <c r="AO110" s="5">
        <f t="shared" si="205"/>
        <v>1.5073564887584472</v>
      </c>
      <c r="AP110" s="5"/>
      <c r="AQ110" s="5">
        <f t="shared" si="206"/>
        <v>1.4987711111314594</v>
      </c>
      <c r="AR110" s="5"/>
      <c r="AS110" s="5">
        <f t="shared" si="207"/>
        <v>1.5237498734518122</v>
      </c>
      <c r="AT110" s="5"/>
      <c r="AU110" s="5">
        <f t="shared" si="208"/>
        <v>1.504205754664393</v>
      </c>
      <c r="AV110" s="5"/>
      <c r="AW110" s="5">
        <f t="shared" si="209"/>
        <v>1.5061668424007184</v>
      </c>
      <c r="AX110" s="5"/>
      <c r="AY110" s="5">
        <f t="shared" si="210"/>
        <v>1.5075237904381289</v>
      </c>
      <c r="AZ110" s="5"/>
      <c r="BA110" s="5">
        <f t="shared" si="211"/>
        <v>1.5134531696623201</v>
      </c>
      <c r="BB110" s="5"/>
      <c r="BC110" s="5">
        <f t="shared" si="212"/>
        <v>1.4992777290714123</v>
      </c>
      <c r="BD110" s="5"/>
      <c r="BE110" s="5">
        <f t="shared" si="213"/>
        <v>1.498876139022943</v>
      </c>
      <c r="BF110" s="5"/>
      <c r="BG110" s="5">
        <f t="shared" si="214"/>
        <v>1.4801922535105718</v>
      </c>
      <c r="BH110" s="5"/>
      <c r="BI110" s="5">
        <f t="shared" si="215"/>
        <v>1.4793291409945701</v>
      </c>
      <c r="BO110" s="47">
        <v>22</v>
      </c>
      <c r="BP110" s="47">
        <f>VLOOKUP(BO110,'[1]Stress vs Strain Overtime'!B28:Q56,15,0)</f>
        <v>29733.721239153176</v>
      </c>
      <c r="BQ110" s="48">
        <v>18</v>
      </c>
      <c r="BR110" s="49"/>
    </row>
    <row r="111" spans="2:70" x14ac:dyDescent="0.3">
      <c r="B111" s="23"/>
      <c r="C111" s="14">
        <f t="shared" si="219"/>
        <v>6.5999999999999988</v>
      </c>
      <c r="D111" s="59"/>
      <c r="E111" s="25">
        <f t="shared" si="220"/>
        <v>6.5999999999999988</v>
      </c>
      <c r="F111" s="5"/>
      <c r="G111" s="5"/>
      <c r="H111" s="5"/>
      <c r="I111" s="5"/>
      <c r="J111" s="5"/>
      <c r="K111" s="5">
        <f t="shared" si="216"/>
        <v>0.30600696306685238</v>
      </c>
      <c r="L111" s="5"/>
      <c r="M111" s="5">
        <f t="shared" si="217"/>
        <v>0.524545759587284</v>
      </c>
      <c r="N111" s="5"/>
      <c r="O111" s="5">
        <f t="shared" si="193"/>
        <v>0.82359036223166704</v>
      </c>
      <c r="P111" s="5"/>
      <c r="Q111" s="5">
        <f t="shared" si="194"/>
        <v>0.91045193296010585</v>
      </c>
      <c r="R111" s="5"/>
      <c r="S111" s="5">
        <f t="shared" si="218"/>
        <v>1.0144963076080498</v>
      </c>
      <c r="T111" s="5"/>
      <c r="U111" s="5">
        <f t="shared" si="195"/>
        <v>1.1180153454965713</v>
      </c>
      <c r="V111" s="5"/>
      <c r="W111" s="5">
        <f t="shared" si="196"/>
        <v>1.2114641140368427</v>
      </c>
      <c r="X111" s="5"/>
      <c r="Y111" s="5">
        <f t="shared" si="197"/>
        <v>1.2580295178892538</v>
      </c>
      <c r="Z111" s="5"/>
      <c r="AA111" s="5">
        <f t="shared" si="198"/>
        <v>1.3188642535682442</v>
      </c>
      <c r="AB111" s="5"/>
      <c r="AC111" s="5">
        <f t="shared" si="199"/>
        <v>1.3564216103474007</v>
      </c>
      <c r="AD111" s="5"/>
      <c r="AE111" s="5">
        <f t="shared" si="200"/>
        <v>1.3837230153384124</v>
      </c>
      <c r="AF111" s="5"/>
      <c r="AG111" s="5">
        <f t="shared" si="201"/>
        <v>1.4093646901439656</v>
      </c>
      <c r="AH111" s="5"/>
      <c r="AI111" s="5">
        <f t="shared" si="202"/>
        <v>1.4589871622985058</v>
      </c>
      <c r="AJ111" s="5"/>
      <c r="AK111" s="5">
        <f t="shared" si="203"/>
        <v>1.5160840935109168</v>
      </c>
      <c r="AL111" s="5"/>
      <c r="AM111" s="5">
        <f t="shared" si="204"/>
        <v>1.5688602263450873</v>
      </c>
      <c r="AN111" s="5"/>
      <c r="AO111" s="5">
        <f t="shared" si="205"/>
        <v>1.5816400300433933</v>
      </c>
      <c r="AP111" s="5"/>
      <c r="AQ111" s="5">
        <f t="shared" si="206"/>
        <v>1.6012600348106243</v>
      </c>
      <c r="AR111" s="5"/>
      <c r="AS111" s="5">
        <f t="shared" si="207"/>
        <v>1.6120729013382504</v>
      </c>
      <c r="AT111" s="5"/>
      <c r="AU111" s="5">
        <f t="shared" si="208"/>
        <v>1.6194333594576344</v>
      </c>
      <c r="AV111" s="5"/>
      <c r="AW111" s="5">
        <f t="shared" si="209"/>
        <v>1.6078037495271764</v>
      </c>
      <c r="AX111" s="5"/>
      <c r="AY111" s="5">
        <f t="shared" si="210"/>
        <v>1.6345651733609856</v>
      </c>
      <c r="AZ111" s="5"/>
      <c r="BA111" s="5">
        <f t="shared" si="211"/>
        <v>1.6273054960661435</v>
      </c>
      <c r="BB111" s="5"/>
      <c r="BC111" s="5">
        <f t="shared" si="212"/>
        <v>1.636730212243271</v>
      </c>
      <c r="BD111" s="5"/>
      <c r="BE111" s="5">
        <f t="shared" si="213"/>
        <v>1.6236943190382966</v>
      </c>
      <c r="BF111" s="5"/>
      <c r="BG111" s="5">
        <f t="shared" si="214"/>
        <v>1.6265771657633026</v>
      </c>
      <c r="BH111" s="5"/>
      <c r="BI111" s="5">
        <f t="shared" si="215"/>
        <v>1.6135504439932362</v>
      </c>
      <c r="BO111" s="47">
        <f>'[1]Stress vs Strain Overtime'!B29</f>
        <v>23</v>
      </c>
      <c r="BP111" s="47">
        <f>VLOOKUP(BO111,'[1]Stress vs Strain Overtime'!B29:Q57,15,0)</f>
        <v>29827.262488706048</v>
      </c>
      <c r="BQ111" s="48">
        <v>18</v>
      </c>
      <c r="BR111" s="49"/>
    </row>
    <row r="112" spans="2:70" x14ac:dyDescent="0.3">
      <c r="B112" s="23"/>
      <c r="C112" s="14">
        <f t="shared" si="219"/>
        <v>6.3999999999999986</v>
      </c>
      <c r="D112" s="59"/>
      <c r="E112" s="25">
        <f t="shared" si="220"/>
        <v>6.3999999999999986</v>
      </c>
      <c r="F112" s="5"/>
      <c r="G112" s="5"/>
      <c r="H112" s="5"/>
      <c r="I112" s="5"/>
      <c r="J112" s="5"/>
      <c r="K112" s="5">
        <f t="shared" si="216"/>
        <v>0.30600696306685238</v>
      </c>
      <c r="L112" s="5"/>
      <c r="M112" s="5">
        <f t="shared" si="217"/>
        <v>0.524545759587284</v>
      </c>
      <c r="N112" s="5"/>
      <c r="O112" s="5">
        <f t="shared" si="193"/>
        <v>0.82359036223166704</v>
      </c>
      <c r="P112" s="5"/>
      <c r="Q112" s="5">
        <f t="shared" si="194"/>
        <v>0.91045193296010585</v>
      </c>
      <c r="R112" s="5"/>
      <c r="S112" s="5">
        <f t="shared" si="218"/>
        <v>1.0144963076080498</v>
      </c>
      <c r="T112" s="5"/>
      <c r="U112" s="5">
        <f t="shared" si="195"/>
        <v>1.1180153454965713</v>
      </c>
      <c r="V112" s="5"/>
      <c r="W112" s="5">
        <f t="shared" si="196"/>
        <v>1.2114641140368427</v>
      </c>
      <c r="X112" s="5"/>
      <c r="Y112" s="5">
        <f t="shared" si="197"/>
        <v>1.2649812472947559</v>
      </c>
      <c r="Z112" s="5"/>
      <c r="AA112" s="5">
        <f t="shared" si="198"/>
        <v>1.323934715113255</v>
      </c>
      <c r="AB112" s="5"/>
      <c r="AC112" s="5">
        <f t="shared" si="199"/>
        <v>1.3748723364625826</v>
      </c>
      <c r="AD112" s="5"/>
      <c r="AE112" s="5">
        <f t="shared" si="200"/>
        <v>1.3976367695919392</v>
      </c>
      <c r="AF112" s="5"/>
      <c r="AG112" s="5">
        <f t="shared" si="201"/>
        <v>1.441002777217756</v>
      </c>
      <c r="AH112" s="5"/>
      <c r="AI112" s="5">
        <f t="shared" si="202"/>
        <v>1.4839682523443531</v>
      </c>
      <c r="AJ112" s="5"/>
      <c r="AK112" s="5">
        <f t="shared" si="203"/>
        <v>1.5613171437716906</v>
      </c>
      <c r="AL112" s="5"/>
      <c r="AM112" s="5">
        <f t="shared" si="204"/>
        <v>1.6057062644441304</v>
      </c>
      <c r="AN112" s="5"/>
      <c r="AO112" s="5">
        <f t="shared" si="205"/>
        <v>1.6399571049691826</v>
      </c>
      <c r="AP112" s="5"/>
      <c r="AQ112" s="5">
        <f t="shared" si="206"/>
        <v>1.6499704300755853</v>
      </c>
      <c r="AR112" s="5"/>
      <c r="AS112" s="5">
        <f t="shared" si="207"/>
        <v>1.6823990459586731</v>
      </c>
      <c r="AT112" s="5"/>
      <c r="AU112" s="5">
        <f t="shared" si="208"/>
        <v>1.679490072840307</v>
      </c>
      <c r="AV112" s="5"/>
      <c r="AW112" s="5">
        <f t="shared" si="209"/>
        <v>1.6891485953232652</v>
      </c>
      <c r="AX112" s="5"/>
      <c r="AY112" s="5">
        <f t="shared" si="210"/>
        <v>1.7056429539040232</v>
      </c>
      <c r="AZ112" s="5"/>
      <c r="BA112" s="5">
        <f t="shared" si="211"/>
        <v>1.7189958971341617</v>
      </c>
      <c r="BB112" s="5"/>
      <c r="BC112" s="5">
        <f t="shared" si="212"/>
        <v>1.7182925135505123</v>
      </c>
      <c r="BD112" s="5"/>
      <c r="BE112" s="5">
        <f t="shared" si="213"/>
        <v>1.7248628337369416</v>
      </c>
      <c r="BF112" s="5"/>
      <c r="BG112" s="5">
        <f t="shared" si="214"/>
        <v>1.717932152700963</v>
      </c>
      <c r="BH112" s="5"/>
      <c r="BI112" s="5">
        <f t="shared" si="215"/>
        <v>1.7232309344011818</v>
      </c>
      <c r="BO112" s="47">
        <f>'[1]Stress vs Strain Overtime'!B30</f>
        <v>24</v>
      </c>
      <c r="BP112" s="47">
        <f>VLOOKUP(BO112,'[1]Stress vs Strain Overtime'!B30:Q58,15,0)</f>
        <v>29915.161705113915</v>
      </c>
      <c r="BQ112" s="48">
        <v>18</v>
      </c>
      <c r="BR112" s="49"/>
    </row>
    <row r="113" spans="2:70" x14ac:dyDescent="0.3">
      <c r="B113" s="23"/>
      <c r="C113" s="14">
        <f t="shared" si="219"/>
        <v>6.1999999999999984</v>
      </c>
      <c r="D113" s="59"/>
      <c r="E113" s="25">
        <f t="shared" si="220"/>
        <v>6.1999999999999984</v>
      </c>
      <c r="F113" s="5"/>
      <c r="G113" s="5"/>
      <c r="H113" s="5"/>
      <c r="I113" s="5"/>
      <c r="J113" s="5"/>
      <c r="K113" s="5">
        <f t="shared" si="216"/>
        <v>0.30600696306685238</v>
      </c>
      <c r="L113" s="5"/>
      <c r="M113" s="5">
        <f t="shared" si="217"/>
        <v>0.524545759587284</v>
      </c>
      <c r="N113" s="5"/>
      <c r="O113" s="5">
        <f t="shared" si="193"/>
        <v>0.82359036223166704</v>
      </c>
      <c r="P113" s="5"/>
      <c r="Q113" s="5">
        <f t="shared" si="194"/>
        <v>0.91045193296010585</v>
      </c>
      <c r="R113" s="5"/>
      <c r="S113" s="5">
        <f t="shared" si="218"/>
        <v>1.0144963076080498</v>
      </c>
      <c r="T113" s="5"/>
      <c r="U113" s="5">
        <f t="shared" si="195"/>
        <v>1.1180153454965713</v>
      </c>
      <c r="V113" s="5"/>
      <c r="W113" s="5">
        <f t="shared" si="196"/>
        <v>1.2114641140368427</v>
      </c>
      <c r="X113" s="5"/>
      <c r="Y113" s="5">
        <f t="shared" si="197"/>
        <v>1.2649812472947559</v>
      </c>
      <c r="Z113" s="5"/>
      <c r="AA113" s="5">
        <f t="shared" si="198"/>
        <v>1.3274450346444167</v>
      </c>
      <c r="AB113" s="5"/>
      <c r="AC113" s="5">
        <f t="shared" si="199"/>
        <v>1.3774294733442169</v>
      </c>
      <c r="AD113" s="5"/>
      <c r="AE113" s="5">
        <f t="shared" si="200"/>
        <v>1.4078243332476552</v>
      </c>
      <c r="AF113" s="5"/>
      <c r="AG113" s="5">
        <f t="shared" si="201"/>
        <v>1.4486478999614614</v>
      </c>
      <c r="AH113" s="5"/>
      <c r="AI113" s="5">
        <f t="shared" si="202"/>
        <v>1.5026278429853597</v>
      </c>
      <c r="AJ113" s="5"/>
      <c r="AK113" s="5">
        <f t="shared" si="203"/>
        <v>1.5759450389705918</v>
      </c>
      <c r="AL113" s="5"/>
      <c r="AM113" s="5">
        <f t="shared" si="204"/>
        <v>1.6337409281916482</v>
      </c>
      <c r="AN113" s="5"/>
      <c r="AO113" s="5">
        <f t="shared" si="205"/>
        <v>1.6626847267080245</v>
      </c>
      <c r="AP113" s="5"/>
      <c r="AQ113" s="5">
        <f t="shared" si="206"/>
        <v>1.6875872334543749</v>
      </c>
      <c r="AR113" s="5"/>
      <c r="AS113" s="5">
        <f t="shared" si="207"/>
        <v>1.7137563833578462</v>
      </c>
      <c r="AT113" s="5"/>
      <c r="AU113" s="5">
        <f t="shared" si="208"/>
        <v>1.7264059862596564</v>
      </c>
      <c r="AV113" s="5"/>
      <c r="AW113" s="5">
        <f t="shared" si="209"/>
        <v>1.729221435362817</v>
      </c>
      <c r="AX113" s="5"/>
      <c r="AY113" s="5">
        <f t="shared" si="210"/>
        <v>1.7614435483911024</v>
      </c>
      <c r="AZ113" s="5"/>
      <c r="BA113" s="5">
        <f t="shared" si="211"/>
        <v>1.7678178808933949</v>
      </c>
      <c r="BB113" s="5"/>
      <c r="BC113" s="5">
        <f t="shared" si="212"/>
        <v>1.7826510235113782</v>
      </c>
      <c r="BD113" s="5"/>
      <c r="BE113" s="5">
        <f t="shared" si="213"/>
        <v>1.782306225133683</v>
      </c>
      <c r="BF113" s="5"/>
      <c r="BG113" s="5">
        <f t="shared" si="214"/>
        <v>1.7903989410360763</v>
      </c>
      <c r="BH113" s="5"/>
      <c r="BI113" s="5">
        <f t="shared" si="215"/>
        <v>1.7890049936851187</v>
      </c>
      <c r="BO113" s="47">
        <f>'[1]Stress vs Strain Overtime'!B31</f>
        <v>25</v>
      </c>
      <c r="BP113" s="47">
        <f>VLOOKUP(BO113,'[1]Stress vs Strain Overtime'!B31:Q59,15,0)</f>
        <v>29997.968704483057</v>
      </c>
      <c r="BQ113" s="48">
        <v>18</v>
      </c>
      <c r="BR113" s="49"/>
    </row>
    <row r="114" spans="2:70" x14ac:dyDescent="0.3">
      <c r="B114" s="23"/>
      <c r="C114" s="14">
        <f t="shared" si="219"/>
        <v>5.9999999999999982</v>
      </c>
      <c r="D114" s="59"/>
      <c r="E114" s="25">
        <f t="shared" si="220"/>
        <v>5.9999999999999982</v>
      </c>
      <c r="F114" s="5"/>
      <c r="G114" s="5"/>
      <c r="H114" s="5"/>
      <c r="I114" s="5"/>
      <c r="J114" s="5"/>
      <c r="K114" s="5">
        <f t="shared" si="216"/>
        <v>0.30600696306685238</v>
      </c>
      <c r="L114" s="5"/>
      <c r="M114" s="5">
        <f t="shared" si="217"/>
        <v>0.524545759587284</v>
      </c>
      <c r="N114" s="5"/>
      <c r="O114" s="5">
        <f t="shared" si="193"/>
        <v>0.82359036223166704</v>
      </c>
      <c r="P114" s="5"/>
      <c r="Q114" s="5">
        <f t="shared" si="194"/>
        <v>0.91045193296010585</v>
      </c>
      <c r="R114" s="5"/>
      <c r="S114" s="5">
        <f t="shared" si="218"/>
        <v>1.0144963076080498</v>
      </c>
      <c r="T114" s="5"/>
      <c r="U114" s="5">
        <f t="shared" si="195"/>
        <v>1.1180153454965713</v>
      </c>
      <c r="V114" s="5"/>
      <c r="W114" s="5">
        <f t="shared" si="196"/>
        <v>1.2114641140368427</v>
      </c>
      <c r="X114" s="5"/>
      <c r="Y114" s="5">
        <f t="shared" si="197"/>
        <v>1.2649812472947559</v>
      </c>
      <c r="Z114" s="5"/>
      <c r="AA114" s="5">
        <f t="shared" si="198"/>
        <v>1.3274450346444167</v>
      </c>
      <c r="AB114" s="5"/>
      <c r="AC114" s="5">
        <f t="shared" si="199"/>
        <v>1.3791997988776572</v>
      </c>
      <c r="AD114" s="5"/>
      <c r="AE114" s="5">
        <f t="shared" si="200"/>
        <v>1.4090977787046197</v>
      </c>
      <c r="AF114" s="5"/>
      <c r="AG114" s="5">
        <f t="shared" si="201"/>
        <v>1.4541030005945721</v>
      </c>
      <c r="AH114" s="5"/>
      <c r="AI114" s="5">
        <f t="shared" si="202"/>
        <v>1.5067422130823174</v>
      </c>
      <c r="AJ114" s="5"/>
      <c r="AK114" s="5">
        <f t="shared" si="203"/>
        <v>1.5865014991335389</v>
      </c>
      <c r="AL114" s="5"/>
      <c r="AM114" s="5">
        <f t="shared" si="204"/>
        <v>1.6421424195730876</v>
      </c>
      <c r="AN114" s="5"/>
      <c r="AO114" s="5">
        <f t="shared" si="205"/>
        <v>1.6792849220109705</v>
      </c>
      <c r="AP114" s="5"/>
      <c r="AQ114" s="5">
        <f t="shared" si="206"/>
        <v>1.7013478093854804</v>
      </c>
      <c r="AR114" s="5"/>
      <c r="AS114" s="5">
        <f t="shared" si="207"/>
        <v>1.7369237607681498</v>
      </c>
      <c r="AT114" s="5"/>
      <c r="AU114" s="5">
        <f t="shared" si="208"/>
        <v>1.7462258920431322</v>
      </c>
      <c r="AV114" s="5"/>
      <c r="AW114" s="5">
        <f t="shared" si="209"/>
        <v>1.7591277861581744</v>
      </c>
      <c r="AX114" s="5"/>
      <c r="AY114" s="5">
        <f t="shared" si="210"/>
        <v>1.7877228297393299</v>
      </c>
      <c r="AZ114" s="5"/>
      <c r="BA114" s="5">
        <f t="shared" si="211"/>
        <v>1.8044891866826647</v>
      </c>
      <c r="BB114" s="5"/>
      <c r="BC114" s="5">
        <f t="shared" si="212"/>
        <v>1.8156768220810571</v>
      </c>
      <c r="BD114" s="5"/>
      <c r="BE114" s="5">
        <f t="shared" si="213"/>
        <v>1.8257155945757049</v>
      </c>
      <c r="BF114" s="5"/>
      <c r="BG114" s="5">
        <f t="shared" si="214"/>
        <v>1.8302866634929056</v>
      </c>
      <c r="BH114" s="5"/>
      <c r="BI114" s="5">
        <f t="shared" si="215"/>
        <v>1.8390135661536302</v>
      </c>
      <c r="BO114" s="47">
        <f>'[1]Stress vs Strain Overtime'!B32</f>
        <v>26</v>
      </c>
      <c r="BP114" s="47">
        <f>VLOOKUP(BO114,'[1]Stress vs Strain Overtime'!B32:Q60,15,0)</f>
        <v>30076.160774978998</v>
      </c>
      <c r="BQ114" s="48">
        <v>18</v>
      </c>
      <c r="BR114" s="49"/>
    </row>
    <row r="115" spans="2:70" x14ac:dyDescent="0.3">
      <c r="B115" s="23"/>
      <c r="C115" s="14">
        <f t="shared" si="219"/>
        <v>5.799999999999998</v>
      </c>
      <c r="D115" s="59"/>
      <c r="E115" s="25">
        <f t="shared" si="220"/>
        <v>5.799999999999998</v>
      </c>
      <c r="F115" s="5"/>
      <c r="G115" s="5"/>
      <c r="H115" s="5"/>
      <c r="I115" s="5"/>
      <c r="J115" s="5"/>
      <c r="K115" s="5">
        <f t="shared" si="216"/>
        <v>0.30600696306685238</v>
      </c>
      <c r="L115" s="5"/>
      <c r="M115" s="5">
        <f t="shared" si="217"/>
        <v>0.524545759587284</v>
      </c>
      <c r="N115" s="5"/>
      <c r="O115" s="5">
        <f t="shared" si="193"/>
        <v>0.82359036223166704</v>
      </c>
      <c r="P115" s="5"/>
      <c r="Q115" s="5">
        <f t="shared" si="194"/>
        <v>0.91045193296010585</v>
      </c>
      <c r="R115" s="5"/>
      <c r="S115" s="5">
        <f t="shared" si="218"/>
        <v>1.0144963076080498</v>
      </c>
      <c r="T115" s="5"/>
      <c r="U115" s="5">
        <f t="shared" si="195"/>
        <v>1.1180153454965713</v>
      </c>
      <c r="V115" s="5"/>
      <c r="W115" s="5">
        <f t="shared" si="196"/>
        <v>1.2114641140368427</v>
      </c>
      <c r="X115" s="5"/>
      <c r="Y115" s="5">
        <f t="shared" si="197"/>
        <v>1.2649812472947559</v>
      </c>
      <c r="Z115" s="5"/>
      <c r="AA115" s="5">
        <f t="shared" si="198"/>
        <v>1.3274450346444167</v>
      </c>
      <c r="AB115" s="5"/>
      <c r="AC115" s="5">
        <f t="shared" si="199"/>
        <v>1.3791702934520995</v>
      </c>
      <c r="AD115" s="5"/>
      <c r="AE115" s="5">
        <f t="shared" si="200"/>
        <v>1.4097468890348235</v>
      </c>
      <c r="AF115" s="5"/>
      <c r="AG115" s="5">
        <f t="shared" si="201"/>
        <v>1.4546367873048995</v>
      </c>
      <c r="AH115" s="5"/>
      <c r="AI115" s="5">
        <f t="shared" si="202"/>
        <v>1.5090798378126113</v>
      </c>
      <c r="AJ115" s="5"/>
      <c r="AK115" s="5">
        <f t="shared" si="203"/>
        <v>1.5885927304852874</v>
      </c>
      <c r="AL115" s="5"/>
      <c r="AM115" s="5">
        <f t="shared" si="204"/>
        <v>1.6471564326727466</v>
      </c>
      <c r="AN115" s="5"/>
      <c r="AO115" s="5">
        <f t="shared" si="205"/>
        <v>1.6839627332950451</v>
      </c>
      <c r="AP115" s="5"/>
      <c r="AQ115" s="5">
        <f t="shared" si="206"/>
        <v>1.7098857081251697</v>
      </c>
      <c r="AR115" s="5"/>
      <c r="AS115" s="5">
        <f t="shared" si="207"/>
        <v>1.7450633160640268</v>
      </c>
      <c r="AT115" s="5"/>
      <c r="AU115" s="5">
        <f t="shared" si="208"/>
        <v>1.7589218801204647</v>
      </c>
      <c r="AV115" s="5"/>
      <c r="AW115" s="5">
        <f t="shared" si="209"/>
        <v>1.771448679956539</v>
      </c>
      <c r="AX115" s="5"/>
      <c r="AY115" s="5">
        <f t="shared" si="210"/>
        <v>1.8050493454689518</v>
      </c>
      <c r="AZ115" s="5"/>
      <c r="BA115" s="5">
        <f t="shared" si="211"/>
        <v>1.8215364698984855</v>
      </c>
      <c r="BB115" s="5"/>
      <c r="BC115" s="5">
        <f t="shared" si="212"/>
        <v>1.8379113394514224</v>
      </c>
      <c r="BD115" s="5"/>
      <c r="BE115" s="5">
        <f t="shared" si="213"/>
        <v>1.847851865097061</v>
      </c>
      <c r="BF115" s="5"/>
      <c r="BG115" s="5">
        <f t="shared" si="214"/>
        <v>1.8576048149223512</v>
      </c>
      <c r="BH115" s="5"/>
      <c r="BI115" s="5">
        <f t="shared" si="215"/>
        <v>1.8664634918855845</v>
      </c>
      <c r="BO115" s="47">
        <f>'[1]Stress vs Strain Overtime'!B33</f>
        <v>27</v>
      </c>
      <c r="BP115" s="47">
        <f>VLOOKUP(BO115,'[1]Stress vs Strain Overtime'!B33:Q61,15,0)</f>
        <v>30150.154565723926</v>
      </c>
      <c r="BQ115" s="48">
        <v>18</v>
      </c>
      <c r="BR115" s="49"/>
    </row>
    <row r="116" spans="2:70" x14ac:dyDescent="0.3">
      <c r="B116" s="23"/>
      <c r="C116" s="14">
        <f t="shared" si="219"/>
        <v>5.5999999999999979</v>
      </c>
      <c r="D116" s="59"/>
      <c r="E116" s="25">
        <f t="shared" si="220"/>
        <v>5.5999999999999979</v>
      </c>
      <c r="F116" s="5"/>
      <c r="G116" s="5"/>
      <c r="H116" s="5"/>
      <c r="I116" s="5"/>
      <c r="J116" s="5"/>
      <c r="K116" s="5">
        <f t="shared" si="216"/>
        <v>0.30600696306685238</v>
      </c>
      <c r="L116" s="5"/>
      <c r="M116" s="5">
        <f t="shared" si="217"/>
        <v>0.524545759587284</v>
      </c>
      <c r="N116" s="5"/>
      <c r="O116" s="5">
        <f t="shared" si="193"/>
        <v>0.82359036223166704</v>
      </c>
      <c r="P116" s="5"/>
      <c r="Q116" s="5">
        <f t="shared" si="194"/>
        <v>0.91045193296010585</v>
      </c>
      <c r="R116" s="5"/>
      <c r="S116" s="5">
        <f t="shared" si="218"/>
        <v>1.0144963076080498</v>
      </c>
      <c r="T116" s="5"/>
      <c r="U116" s="5">
        <f t="shared" si="195"/>
        <v>1.1180153454965713</v>
      </c>
      <c r="V116" s="5"/>
      <c r="W116" s="5">
        <f t="shared" si="196"/>
        <v>1.2114641140368427</v>
      </c>
      <c r="X116" s="5"/>
      <c r="Y116" s="5">
        <f t="shared" si="197"/>
        <v>1.2649812472947559</v>
      </c>
      <c r="Z116" s="5"/>
      <c r="AA116" s="5">
        <f t="shared" si="198"/>
        <v>1.3273865293188973</v>
      </c>
      <c r="AB116" s="5"/>
      <c r="AC116" s="5">
        <f t="shared" si="199"/>
        <v>1.3786883715013301</v>
      </c>
      <c r="AD116" s="5"/>
      <c r="AE116" s="5">
        <f t="shared" si="200"/>
        <v>1.4095338222852152</v>
      </c>
      <c r="AF116" s="5"/>
      <c r="AG116" s="5">
        <f t="shared" si="201"/>
        <v>1.4538286242481426</v>
      </c>
      <c r="AH116" s="5"/>
      <c r="AI116" s="5">
        <f t="shared" si="202"/>
        <v>1.5091250093049839</v>
      </c>
      <c r="AJ116" s="5"/>
      <c r="AK116" s="5">
        <f t="shared" si="203"/>
        <v>1.5880142511038233</v>
      </c>
      <c r="AL116" s="5"/>
      <c r="AM116" s="5">
        <f t="shared" si="204"/>
        <v>1.6480678120532555</v>
      </c>
      <c r="AN116" s="5"/>
      <c r="AO116" s="5">
        <f t="shared" si="205"/>
        <v>1.6843665364612386</v>
      </c>
      <c r="AP116" s="5"/>
      <c r="AQ116" s="5">
        <f t="shared" si="206"/>
        <v>1.7123409836218995</v>
      </c>
      <c r="AR116" s="5"/>
      <c r="AS116" s="5">
        <f t="shared" si="207"/>
        <v>1.7471963656197329</v>
      </c>
      <c r="AT116" s="5"/>
      <c r="AU116" s="5">
        <f t="shared" si="208"/>
        <v>1.7636610358047358</v>
      </c>
      <c r="AV116" s="5"/>
      <c r="AW116" s="5">
        <f t="shared" si="209"/>
        <v>1.7760866852813892</v>
      </c>
      <c r="AX116" s="5"/>
      <c r="AY116" s="5">
        <f t="shared" si="210"/>
        <v>1.812764451061357</v>
      </c>
      <c r="AZ116" s="5"/>
      <c r="BA116" s="5">
        <f t="shared" si="211"/>
        <v>1.8292114456272863</v>
      </c>
      <c r="BB116" s="5"/>
      <c r="BC116" s="5">
        <f t="shared" si="212"/>
        <v>1.8490429820725767</v>
      </c>
      <c r="BD116" s="5"/>
      <c r="BE116" s="5">
        <f t="shared" si="213"/>
        <v>1.8589447114016402</v>
      </c>
      <c r="BF116" s="5"/>
      <c r="BG116" s="5">
        <f t="shared" si="214"/>
        <v>1.8724894854873277</v>
      </c>
      <c r="BH116" s="5"/>
      <c r="BI116" s="5">
        <f t="shared" si="215"/>
        <v>1.8812252721355116</v>
      </c>
      <c r="BO116" s="47">
        <f>'[1]Stress vs Strain Overtime'!B34</f>
        <v>28</v>
      </c>
      <c r="BP116" s="47">
        <f>VLOOKUP(BO116,'[1]Stress vs Strain Overtime'!B34:Q62,15,0)</f>
        <v>30220.315672773424</v>
      </c>
      <c r="BQ116" s="48">
        <v>18</v>
      </c>
      <c r="BR116" s="49"/>
    </row>
    <row r="117" spans="2:70" x14ac:dyDescent="0.3">
      <c r="B117" s="23"/>
      <c r="C117" s="14">
        <f t="shared" si="219"/>
        <v>5.3999999999999977</v>
      </c>
      <c r="D117" s="59"/>
      <c r="E117" s="25">
        <f t="shared" si="220"/>
        <v>5.3999999999999977</v>
      </c>
      <c r="F117" s="5"/>
      <c r="G117" s="5"/>
      <c r="H117" s="5"/>
      <c r="I117" s="5"/>
      <c r="J117" s="5"/>
      <c r="K117" s="5">
        <f t="shared" si="216"/>
        <v>0.30600696306685238</v>
      </c>
      <c r="L117" s="5"/>
      <c r="M117" s="5">
        <f t="shared" si="217"/>
        <v>0.524545759587284</v>
      </c>
      <c r="N117" s="5"/>
      <c r="O117" s="5">
        <f t="shared" si="193"/>
        <v>0.82359036223166704</v>
      </c>
      <c r="P117" s="5"/>
      <c r="Q117" s="5">
        <f t="shared" si="194"/>
        <v>0.91045193296010585</v>
      </c>
      <c r="R117" s="5"/>
      <c r="S117" s="5">
        <f t="shared" si="218"/>
        <v>1.0144963076080498</v>
      </c>
      <c r="T117" s="5"/>
      <c r="U117" s="5">
        <f t="shared" si="195"/>
        <v>1.1180153454965713</v>
      </c>
      <c r="V117" s="5"/>
      <c r="W117" s="5">
        <f t="shared" si="196"/>
        <v>1.2114641140368427</v>
      </c>
      <c r="X117" s="5"/>
      <c r="Y117" s="5">
        <f t="shared" si="197"/>
        <v>1.2648653851379978</v>
      </c>
      <c r="Z117" s="5"/>
      <c r="AA117" s="5">
        <f t="shared" si="198"/>
        <v>1.3264309423354144</v>
      </c>
      <c r="AB117" s="5"/>
      <c r="AC117" s="5">
        <f t="shared" si="199"/>
        <v>1.3782949658272321</v>
      </c>
      <c r="AD117" s="5"/>
      <c r="AE117" s="5">
        <f t="shared" si="200"/>
        <v>1.4072792787719122</v>
      </c>
      <c r="AF117" s="5"/>
      <c r="AG117" s="5">
        <f t="shared" si="201"/>
        <v>1.4533846334330107</v>
      </c>
      <c r="AH117" s="5"/>
      <c r="AI117" s="5">
        <f t="shared" si="202"/>
        <v>1.5056367662828605</v>
      </c>
      <c r="AJ117" s="5"/>
      <c r="AK117" s="5">
        <f t="shared" si="203"/>
        <v>1.5877366819349636</v>
      </c>
      <c r="AL117" s="5"/>
      <c r="AM117" s="5">
        <f t="shared" si="204"/>
        <v>1.6438577148175881</v>
      </c>
      <c r="AN117" s="5"/>
      <c r="AO117" s="5">
        <f t="shared" si="205"/>
        <v>1.6845786286605158</v>
      </c>
      <c r="AP117" s="5"/>
      <c r="AQ117" s="5">
        <f t="shared" si="206"/>
        <v>1.7080526063150412</v>
      </c>
      <c r="AR117" s="5"/>
      <c r="AS117" s="5">
        <f t="shared" si="207"/>
        <v>1.7485009482310525</v>
      </c>
      <c r="AT117" s="5"/>
      <c r="AU117" s="5">
        <f t="shared" si="208"/>
        <v>1.7602099174361123</v>
      </c>
      <c r="AV117" s="5"/>
      <c r="AW117" s="5">
        <f t="shared" si="209"/>
        <v>1.7791476119971983</v>
      </c>
      <c r="AX117" s="5"/>
      <c r="AY117" s="5">
        <f t="shared" si="210"/>
        <v>1.8107427842851849</v>
      </c>
      <c r="AZ117" s="5"/>
      <c r="BA117" s="5">
        <f t="shared" si="211"/>
        <v>1.8343659916310295</v>
      </c>
      <c r="BB117" s="5"/>
      <c r="BC117" s="5">
        <f t="shared" si="212"/>
        <v>1.8489364788977765</v>
      </c>
      <c r="BD117" s="5"/>
      <c r="BE117" s="5">
        <f t="shared" si="213"/>
        <v>1.8665047228027505</v>
      </c>
      <c r="BF117" s="5"/>
      <c r="BG117" s="5">
        <f t="shared" si="214"/>
        <v>1.8746263510748962</v>
      </c>
      <c r="BH117" s="5"/>
      <c r="BI117" s="5">
        <f t="shared" si="215"/>
        <v>1.8915581565039545</v>
      </c>
    </row>
    <row r="118" spans="2:70" x14ac:dyDescent="0.3">
      <c r="B118" s="23"/>
      <c r="C118" s="14">
        <f t="shared" si="219"/>
        <v>5.1999999999999975</v>
      </c>
      <c r="D118" s="59"/>
      <c r="E118" s="25">
        <f t="shared" si="220"/>
        <v>5.1999999999999975</v>
      </c>
      <c r="F118" s="5"/>
      <c r="G118" s="5"/>
      <c r="H118" s="5"/>
      <c r="I118" s="5"/>
      <c r="J118" s="5"/>
      <c r="K118" s="5">
        <f t="shared" si="216"/>
        <v>0.30600696306685238</v>
      </c>
      <c r="L118" s="5"/>
      <c r="M118" s="5">
        <f t="shared" si="217"/>
        <v>0.524545759587284</v>
      </c>
      <c r="N118" s="5"/>
      <c r="O118" s="5">
        <f t="shared" si="193"/>
        <v>0.82359036223166704</v>
      </c>
      <c r="P118" s="5"/>
      <c r="Q118" s="5">
        <f t="shared" si="194"/>
        <v>0.91045193296010585</v>
      </c>
      <c r="R118" s="5"/>
      <c r="S118" s="5">
        <f t="shared" si="218"/>
        <v>1.0144963076080498</v>
      </c>
      <c r="T118" s="5"/>
      <c r="U118" s="5">
        <f t="shared" si="195"/>
        <v>1.1180153454965713</v>
      </c>
      <c r="V118" s="5"/>
      <c r="W118" s="5">
        <f t="shared" si="196"/>
        <v>1.2112350312998863</v>
      </c>
      <c r="X118" s="5"/>
      <c r="Y118" s="5">
        <f t="shared" si="197"/>
        <v>1.2629729699109444</v>
      </c>
      <c r="Z118" s="5"/>
      <c r="AA118" s="5">
        <f t="shared" si="198"/>
        <v>1.3257093766540091</v>
      </c>
      <c r="AB118" s="5"/>
      <c r="AC118" s="5">
        <f t="shared" si="199"/>
        <v>1.3743018982351409</v>
      </c>
      <c r="AD118" s="5"/>
      <c r="AE118" s="5">
        <f t="shared" si="200"/>
        <v>1.4066103482789536</v>
      </c>
      <c r="AF118" s="5"/>
      <c r="AG118" s="5">
        <f t="shared" si="201"/>
        <v>1.447258557916357</v>
      </c>
      <c r="AH118" s="5"/>
      <c r="AI118" s="5">
        <f t="shared" si="202"/>
        <v>1.5050394987725975</v>
      </c>
      <c r="AJ118" s="5"/>
      <c r="AK118" s="5">
        <f t="shared" si="203"/>
        <v>1.5799369882900089</v>
      </c>
      <c r="AL118" s="5"/>
      <c r="AM118" s="5">
        <f t="shared" si="204"/>
        <v>1.6433685814665877</v>
      </c>
      <c r="AN118" s="5"/>
      <c r="AO118" s="5">
        <f t="shared" si="205"/>
        <v>1.6756341337639393</v>
      </c>
      <c r="AP118" s="5"/>
      <c r="AQ118" s="5">
        <f t="shared" si="206"/>
        <v>1.7081963570588745</v>
      </c>
      <c r="AR118" s="5"/>
      <c r="AS118" s="5">
        <f t="shared" si="207"/>
        <v>1.7394905475227964</v>
      </c>
      <c r="AT118" s="5"/>
      <c r="AU118" s="5">
        <f t="shared" si="208"/>
        <v>1.7615720632151988</v>
      </c>
      <c r="AV118" s="5"/>
      <c r="AW118" s="5">
        <f t="shared" si="209"/>
        <v>1.7704789534145149</v>
      </c>
      <c r="AX118" s="5"/>
      <c r="AY118" s="5">
        <f t="shared" si="210"/>
        <v>1.8133064796686391</v>
      </c>
      <c r="AZ118" s="5"/>
      <c r="BA118" s="5">
        <f t="shared" si="211"/>
        <v>1.8264785975396629</v>
      </c>
      <c r="BB118" s="5"/>
      <c r="BC118" s="5">
        <f t="shared" si="212"/>
        <v>1.8528855500095196</v>
      </c>
      <c r="BD118" s="5"/>
      <c r="BE118" s="5">
        <f t="shared" si="213"/>
        <v>1.859675119184117</v>
      </c>
      <c r="BF118" s="5"/>
      <c r="BG118" s="5">
        <f t="shared" si="214"/>
        <v>1.8803594704887969</v>
      </c>
      <c r="BH118" s="5"/>
      <c r="BI118" s="5">
        <f t="shared" si="215"/>
        <v>1.8863407051057184</v>
      </c>
    </row>
    <row r="119" spans="2:70" x14ac:dyDescent="0.3">
      <c r="B119" s="23"/>
      <c r="C119" s="14">
        <f t="shared" si="219"/>
        <v>4.9999999999999973</v>
      </c>
      <c r="D119" s="59"/>
      <c r="E119" s="25">
        <f t="shared" si="220"/>
        <v>4.9999999999999973</v>
      </c>
      <c r="F119" s="5"/>
      <c r="G119" s="5"/>
      <c r="H119" s="5"/>
      <c r="I119" s="5"/>
      <c r="J119" s="5"/>
      <c r="K119" s="5">
        <f t="shared" si="216"/>
        <v>0.30600696306685238</v>
      </c>
      <c r="L119" s="5"/>
      <c r="M119" s="5">
        <f t="shared" si="217"/>
        <v>0.524545759587284</v>
      </c>
      <c r="N119" s="5"/>
      <c r="O119" s="5">
        <f t="shared" si="193"/>
        <v>0.82359036223166704</v>
      </c>
      <c r="P119" s="5"/>
      <c r="Q119" s="5">
        <f t="shared" si="194"/>
        <v>0.91045193296010585</v>
      </c>
      <c r="R119" s="5"/>
      <c r="S119" s="5">
        <f t="shared" si="218"/>
        <v>1.0144963076080498</v>
      </c>
      <c r="T119" s="5"/>
      <c r="U119" s="5">
        <f t="shared" si="195"/>
        <v>1.117563347484966</v>
      </c>
      <c r="V119" s="5"/>
      <c r="W119" s="5">
        <f t="shared" si="196"/>
        <v>1.2074933465962701</v>
      </c>
      <c r="X119" s="5"/>
      <c r="Y119" s="5">
        <f t="shared" si="197"/>
        <v>1.2616598654676829</v>
      </c>
      <c r="Z119" s="5"/>
      <c r="AA119" s="5">
        <f t="shared" si="198"/>
        <v>1.3187472429172058</v>
      </c>
      <c r="AB119" s="5"/>
      <c r="AC119" s="5">
        <f t="shared" si="199"/>
        <v>1.3733675597591584</v>
      </c>
      <c r="AD119" s="5"/>
      <c r="AE119" s="5">
        <f t="shared" si="200"/>
        <v>1.3966953118611094</v>
      </c>
      <c r="AF119" s="5"/>
      <c r="AG119" s="5">
        <f t="shared" si="201"/>
        <v>1.4465152474505749</v>
      </c>
      <c r="AH119" s="5"/>
      <c r="AI119" s="5">
        <f t="shared" si="202"/>
        <v>1.4930138436920106</v>
      </c>
      <c r="AJ119" s="5"/>
      <c r="AK119" s="5">
        <f t="shared" si="203"/>
        <v>1.5792411728507996</v>
      </c>
      <c r="AL119" s="5"/>
      <c r="AM119" s="5">
        <f t="shared" si="204"/>
        <v>1.6297714351124346</v>
      </c>
      <c r="AN119" s="5"/>
      <c r="AO119" s="5">
        <f t="shared" si="205"/>
        <v>1.6757083341880119</v>
      </c>
      <c r="AP119" s="5"/>
      <c r="AQ119" s="5">
        <f t="shared" si="206"/>
        <v>1.6945339601674951</v>
      </c>
      <c r="AR119" s="5"/>
      <c r="AS119" s="5">
        <f t="shared" si="207"/>
        <v>1.7409004342061014</v>
      </c>
      <c r="AT119" s="5"/>
      <c r="AU119" s="5">
        <f t="shared" si="208"/>
        <v>1.7477440683588306</v>
      </c>
      <c r="AV119" s="5"/>
      <c r="AW119" s="5">
        <f t="shared" si="209"/>
        <v>1.7725293374603015</v>
      </c>
      <c r="AX119" s="5"/>
      <c r="AY119" s="5">
        <f t="shared" si="210"/>
        <v>1.7995997090568321</v>
      </c>
      <c r="AZ119" s="5"/>
      <c r="BA119" s="5">
        <f t="shared" si="211"/>
        <v>1.829200391567912</v>
      </c>
      <c r="BB119" s="5"/>
      <c r="BC119" s="5">
        <f t="shared" si="212"/>
        <v>1.8393683571847805</v>
      </c>
      <c r="BD119" s="5"/>
      <c r="BE119" s="5">
        <f t="shared" si="213"/>
        <v>1.8635532064407601</v>
      </c>
      <c r="BF119" s="5"/>
      <c r="BG119" s="5">
        <f t="shared" si="214"/>
        <v>1.867811928335219</v>
      </c>
      <c r="BH119" s="5"/>
      <c r="BI119" s="5">
        <f t="shared" si="215"/>
        <v>1.8913799587981657</v>
      </c>
    </row>
    <row r="120" spans="2:70" x14ac:dyDescent="0.3">
      <c r="B120" s="23"/>
      <c r="C120" s="14">
        <f t="shared" si="219"/>
        <v>4.7999999999999972</v>
      </c>
      <c r="D120" s="59"/>
      <c r="E120" s="25">
        <f t="shared" si="220"/>
        <v>4.7999999999999972</v>
      </c>
      <c r="F120" s="5"/>
      <c r="G120" s="5"/>
      <c r="H120" s="5"/>
      <c r="I120" s="5"/>
      <c r="J120" s="5"/>
      <c r="K120" s="5">
        <f t="shared" si="216"/>
        <v>0.30600696306685238</v>
      </c>
      <c r="L120" s="5"/>
      <c r="M120" s="5">
        <f t="shared" si="217"/>
        <v>0.524545759587284</v>
      </c>
      <c r="N120" s="5"/>
      <c r="O120" s="5">
        <f t="shared" si="193"/>
        <v>0.82359036223166704</v>
      </c>
      <c r="P120" s="5"/>
      <c r="Q120" s="5">
        <f t="shared" si="194"/>
        <v>0.91045193296010585</v>
      </c>
      <c r="R120" s="5"/>
      <c r="S120" s="5">
        <f t="shared" si="218"/>
        <v>1.0136069821505516</v>
      </c>
      <c r="T120" s="5"/>
      <c r="U120" s="5">
        <f t="shared" si="195"/>
        <v>1.1101807132954125</v>
      </c>
      <c r="V120" s="5"/>
      <c r="W120" s="5">
        <f t="shared" si="196"/>
        <v>1.2051261583143895</v>
      </c>
      <c r="X120" s="5"/>
      <c r="Y120" s="5">
        <f t="shared" si="197"/>
        <v>1.2497646840404906</v>
      </c>
      <c r="Z120" s="5"/>
      <c r="AA120" s="5">
        <f t="shared" si="198"/>
        <v>1.3176161399571651</v>
      </c>
      <c r="AB120" s="5"/>
      <c r="AC120" s="5">
        <f t="shared" si="199"/>
        <v>1.3576805085045138</v>
      </c>
      <c r="AD120" s="5"/>
      <c r="AE120" s="5">
        <f t="shared" si="200"/>
        <v>1.3958876402288714</v>
      </c>
      <c r="AF120" s="5"/>
      <c r="AG120" s="5">
        <f t="shared" si="201"/>
        <v>1.428735660201917</v>
      </c>
      <c r="AH120" s="5"/>
      <c r="AI120" s="5">
        <f t="shared" si="202"/>
        <v>1.4922271068665176</v>
      </c>
      <c r="AJ120" s="5"/>
      <c r="AK120" s="5">
        <f t="shared" si="203"/>
        <v>1.5599822884050836</v>
      </c>
      <c r="AL120" s="5"/>
      <c r="AM120" s="5">
        <f t="shared" si="204"/>
        <v>1.6304082911734581</v>
      </c>
      <c r="AN120" s="5"/>
      <c r="AO120" s="5">
        <f t="shared" si="205"/>
        <v>1.6574429285096539</v>
      </c>
      <c r="AP120" s="5"/>
      <c r="AQ120" s="5">
        <f t="shared" si="206"/>
        <v>1.6971990254038352</v>
      </c>
      <c r="AR120" s="5"/>
      <c r="AS120" s="5">
        <f t="shared" si="207"/>
        <v>1.7223545571501608</v>
      </c>
      <c r="AT120" s="5"/>
      <c r="AU120" s="5">
        <f t="shared" si="208"/>
        <v>1.7504689237857478</v>
      </c>
      <c r="AV120" s="5"/>
      <c r="AW120" s="5">
        <f t="shared" si="209"/>
        <v>1.7538704263999585</v>
      </c>
      <c r="AX120" s="5"/>
      <c r="AY120" s="5">
        <f t="shared" si="210"/>
        <v>1.8024636069266613</v>
      </c>
      <c r="AZ120" s="5"/>
      <c r="BA120" s="5">
        <f t="shared" si="211"/>
        <v>1.8101280262745807</v>
      </c>
      <c r="BB120" s="5"/>
      <c r="BC120" s="5">
        <f t="shared" si="212"/>
        <v>1.8431552960663626</v>
      </c>
      <c r="BD120" s="5"/>
      <c r="BE120" s="5">
        <f t="shared" si="213"/>
        <v>1.8453493135100352</v>
      </c>
      <c r="BF120" s="5"/>
      <c r="BG120" s="5">
        <f t="shared" si="214"/>
        <v>1.872133917502468</v>
      </c>
      <c r="BH120" s="5"/>
      <c r="BI120" s="5">
        <f t="shared" si="215"/>
        <v>1.8739802347336618</v>
      </c>
    </row>
    <row r="121" spans="2:70" x14ac:dyDescent="0.3">
      <c r="B121" s="23"/>
      <c r="C121" s="14">
        <f t="shared" si="219"/>
        <v>4.599999999999997</v>
      </c>
      <c r="D121" s="59"/>
      <c r="E121" s="25">
        <f t="shared" si="220"/>
        <v>4.599999999999997</v>
      </c>
      <c r="F121" s="5"/>
      <c r="G121" s="5"/>
      <c r="H121" s="5"/>
      <c r="I121" s="5"/>
      <c r="J121" s="5"/>
      <c r="K121" s="5">
        <f t="shared" si="216"/>
        <v>0.30600696306685238</v>
      </c>
      <c r="L121" s="5"/>
      <c r="M121" s="5">
        <f t="shared" si="217"/>
        <v>0.524545759587284</v>
      </c>
      <c r="N121" s="5"/>
      <c r="O121" s="5">
        <f t="shared" si="193"/>
        <v>0.82359036223166704</v>
      </c>
      <c r="P121" s="5"/>
      <c r="Q121" s="5">
        <f t="shared" si="194"/>
        <v>0.90870902105453388</v>
      </c>
      <c r="R121" s="5"/>
      <c r="S121" s="5">
        <f t="shared" si="218"/>
        <v>0.99908133301141544</v>
      </c>
      <c r="T121" s="5"/>
      <c r="U121" s="5">
        <f t="shared" si="195"/>
        <v>1.1059620651870963</v>
      </c>
      <c r="V121" s="5"/>
      <c r="W121" s="5">
        <f t="shared" si="196"/>
        <v>1.185348682023843</v>
      </c>
      <c r="X121" s="5"/>
      <c r="Y121" s="5">
        <f t="shared" si="197"/>
        <v>1.2488377867864235</v>
      </c>
      <c r="Z121" s="5"/>
      <c r="AA121" s="5">
        <f t="shared" si="198"/>
        <v>1.2934729422928435</v>
      </c>
      <c r="AB121" s="5"/>
      <c r="AC121" s="5">
        <f t="shared" si="199"/>
        <v>1.3570117188585478</v>
      </c>
      <c r="AD121" s="5"/>
      <c r="AE121" s="5">
        <f t="shared" si="200"/>
        <v>1.3704831466185321</v>
      </c>
      <c r="AF121" s="5"/>
      <c r="AG121" s="5">
        <f t="shared" si="201"/>
        <v>1.4279150254930493</v>
      </c>
      <c r="AH121" s="5"/>
      <c r="AI121" s="5">
        <f t="shared" si="202"/>
        <v>1.4659460816512746</v>
      </c>
      <c r="AJ121" s="5"/>
      <c r="AK121" s="5">
        <f t="shared" si="203"/>
        <v>1.5619454594357454</v>
      </c>
      <c r="AL121" s="5"/>
      <c r="AM121" s="5">
        <f t="shared" si="204"/>
        <v>1.6076415587460473</v>
      </c>
      <c r="AN121" s="5"/>
      <c r="AO121" s="5">
        <f t="shared" si="205"/>
        <v>1.6626764468323769</v>
      </c>
      <c r="AP121" s="5"/>
      <c r="AQ121" s="5">
        <f t="shared" si="206"/>
        <v>1.6739138034135803</v>
      </c>
      <c r="AR121" s="5"/>
      <c r="AS121" s="5">
        <f t="shared" si="207"/>
        <v>1.7263747327276053</v>
      </c>
      <c r="AT121" s="5"/>
      <c r="AU121" s="5">
        <f t="shared" si="208"/>
        <v>1.7271043779748949</v>
      </c>
      <c r="AV121" s="5"/>
      <c r="AW121" s="5">
        <f t="shared" si="209"/>
        <v>1.7575298751590529</v>
      </c>
      <c r="AX121" s="5"/>
      <c r="AY121" s="5">
        <f t="shared" si="210"/>
        <v>1.7781377269720209</v>
      </c>
      <c r="AZ121" s="5"/>
      <c r="BA121" s="5">
        <f t="shared" si="211"/>
        <v>1.8149592029241757</v>
      </c>
      <c r="BB121" s="5"/>
      <c r="BC121" s="5">
        <f t="shared" si="212"/>
        <v>1.8203593560733025</v>
      </c>
      <c r="BD121" s="5"/>
      <c r="BE121" s="5">
        <f t="shared" si="213"/>
        <v>1.8500939907422806</v>
      </c>
      <c r="BF121" s="5"/>
      <c r="BG121" s="5">
        <f t="shared" si="214"/>
        <v>1.8499628037937996</v>
      </c>
      <c r="BH121" s="5"/>
      <c r="BI121" s="5">
        <f t="shared" si="215"/>
        <v>1.8788121095468122</v>
      </c>
    </row>
    <row r="122" spans="2:70" x14ac:dyDescent="0.3">
      <c r="B122" s="23"/>
      <c r="C122" s="14">
        <f t="shared" si="219"/>
        <v>4.3999999999999968</v>
      </c>
      <c r="D122" s="59"/>
      <c r="E122" s="25">
        <f t="shared" si="220"/>
        <v>4.3999999999999968</v>
      </c>
      <c r="F122" s="5"/>
      <c r="G122" s="5"/>
      <c r="H122" s="5"/>
      <c r="I122" s="5"/>
      <c r="J122" s="5"/>
      <c r="K122" s="5">
        <f t="shared" si="216"/>
        <v>0.30600696306685238</v>
      </c>
      <c r="L122" s="5"/>
      <c r="M122" s="5">
        <f t="shared" si="217"/>
        <v>0.524545759587284</v>
      </c>
      <c r="N122" s="5"/>
      <c r="O122" s="5">
        <f t="shared" si="193"/>
        <v>0.82019439834073604</v>
      </c>
      <c r="P122" s="5"/>
      <c r="Q122" s="5">
        <f t="shared" si="194"/>
        <v>0.88024145993019631</v>
      </c>
      <c r="R122" s="5"/>
      <c r="S122" s="5">
        <f t="shared" si="218"/>
        <v>0.99167028753226405</v>
      </c>
      <c r="T122" s="5"/>
      <c r="U122" s="5">
        <f t="shared" si="195"/>
        <v>1.0743222043747249</v>
      </c>
      <c r="V122" s="5"/>
      <c r="W122" s="5">
        <f t="shared" si="196"/>
        <v>1.1858832084100739</v>
      </c>
      <c r="X122" s="5"/>
      <c r="Y122" s="5">
        <f t="shared" si="197"/>
        <v>1.212920518191329</v>
      </c>
      <c r="Z122" s="5"/>
      <c r="AA122" s="5">
        <f t="shared" si="198"/>
        <v>1.2932779245411123</v>
      </c>
      <c r="AB122" s="5"/>
      <c r="AC122" s="5">
        <f t="shared" si="199"/>
        <v>1.3222739978357219</v>
      </c>
      <c r="AD122" s="5"/>
      <c r="AE122" s="5">
        <f t="shared" si="200"/>
        <v>1.3696606098642279</v>
      </c>
      <c r="AF122" s="5"/>
      <c r="AG122" s="5">
        <f t="shared" si="201"/>
        <v>1.393450862051032</v>
      </c>
      <c r="AH122" s="5"/>
      <c r="AI122" s="5">
        <f t="shared" si="202"/>
        <v>1.4706376430396626</v>
      </c>
      <c r="AJ122" s="5"/>
      <c r="AK122" s="5">
        <f t="shared" si="203"/>
        <v>1.5358981162943517</v>
      </c>
      <c r="AL122" s="5"/>
      <c r="AM122" s="5">
        <f t="shared" si="204"/>
        <v>1.6174239087645306</v>
      </c>
      <c r="AN122" s="5"/>
      <c r="AO122" s="5">
        <f t="shared" si="205"/>
        <v>1.6345672243794234</v>
      </c>
      <c r="AP122" s="5"/>
      <c r="AQ122" s="5">
        <f t="shared" si="206"/>
        <v>1.6792578452485667</v>
      </c>
      <c r="AR122" s="5"/>
      <c r="AS122" s="5">
        <f t="shared" si="207"/>
        <v>1.6983599969914711</v>
      </c>
      <c r="AT122" s="5"/>
      <c r="AU122" s="5">
        <f t="shared" si="208"/>
        <v>1.731673849443693</v>
      </c>
      <c r="AV122" s="5"/>
      <c r="AW122" s="5">
        <f t="shared" si="209"/>
        <v>1.7276896030481441</v>
      </c>
      <c r="AX122" s="5"/>
      <c r="AY122" s="5">
        <f t="shared" si="210"/>
        <v>1.7849077916712228</v>
      </c>
      <c r="AZ122" s="5"/>
      <c r="BA122" s="5">
        <f t="shared" si="211"/>
        <v>1.7885655409787646</v>
      </c>
      <c r="BB122" s="5"/>
      <c r="BC122" s="5">
        <f t="shared" si="212"/>
        <v>1.8260371012111094</v>
      </c>
      <c r="BD122" s="5"/>
      <c r="BE122" s="5">
        <f t="shared" si="213"/>
        <v>1.8240644798933556</v>
      </c>
      <c r="BF122" s="5"/>
      <c r="BG122" s="5">
        <f t="shared" si="214"/>
        <v>1.8552821283729819</v>
      </c>
      <c r="BH122" s="5"/>
      <c r="BI122" s="5">
        <f t="shared" si="215"/>
        <v>1.8539071761441384</v>
      </c>
    </row>
    <row r="123" spans="2:70" x14ac:dyDescent="0.3">
      <c r="B123" s="23"/>
      <c r="C123" s="14">
        <f t="shared" si="219"/>
        <v>4.1999999999999966</v>
      </c>
      <c r="D123" s="59"/>
      <c r="E123" s="25">
        <f t="shared" si="220"/>
        <v>4.1999999999999966</v>
      </c>
      <c r="F123" s="5"/>
      <c r="G123" s="5"/>
      <c r="H123" s="5"/>
      <c r="I123" s="5"/>
      <c r="J123" s="5"/>
      <c r="K123" s="5">
        <f t="shared" si="216"/>
        <v>0.30600696306685238</v>
      </c>
      <c r="M123" s="5">
        <f t="shared" si="217"/>
        <v>0.51883963783883247</v>
      </c>
      <c r="N123" s="5"/>
      <c r="O123" s="5">
        <f>$F$97*$F$96*$F$95*$F$88*$BP$90*($F$98+O24-22)</f>
        <v>0.4753175762270801</v>
      </c>
      <c r="P123" s="5"/>
      <c r="Q123" s="5">
        <f>$F$97*$F$96*$F$95*$F$88*$BP$90*($F$98+Q24-22)</f>
        <v>0.54284001691708939</v>
      </c>
      <c r="R123" s="5"/>
      <c r="S123" s="5">
        <f>$F$97*$F$96*$F$95*$F$88*$BP$90*($F$98+S24-22)</f>
        <v>0.58991552134181457</v>
      </c>
      <c r="T123" s="5"/>
      <c r="U123" s="5">
        <f>$F$97*$F$96*$F$95*$F$88*$BP$90*($F$98+U24-22)</f>
        <v>0.68466091787339456</v>
      </c>
      <c r="V123" s="5"/>
      <c r="W123" s="5">
        <f>$F$97*$F$96*$F$95*$F$88*$BP$90*($F$98+W24-22)</f>
        <v>0.71604458748987776</v>
      </c>
      <c r="X123" s="5"/>
      <c r="Y123" s="5">
        <f>$F$97*$F$96*$F$95*$F$88*$BP$90*($F$98+Y24-22)</f>
        <v>0.76662697923917145</v>
      </c>
      <c r="Z123" s="5"/>
      <c r="AA123" s="5">
        <f>$F$97*$F$96*$F$95*$F$88*$BP$90*($F$98+AA24-22)</f>
        <v>0.78419113524612394</v>
      </c>
      <c r="AB123" s="5"/>
      <c r="AC123" s="5">
        <f>$F$97*$F$96*$F$95*$F$88*$BP$90*($F$98+AC24-22)</f>
        <v>0.83101402490594312</v>
      </c>
      <c r="AD123" s="5"/>
      <c r="AE123" s="5">
        <f>$F$97*$F$96*$F$95*$F$88*$BP$90*($F$98+AE24-22)</f>
        <v>0.82743283912110799</v>
      </c>
      <c r="AF123" s="5"/>
      <c r="AG123" s="5">
        <f>$F$97*$F$96*$F$95*$F$88*$BP$90*($F$98+AG24-22)</f>
        <v>0.87806723979258783</v>
      </c>
      <c r="AH123" s="5"/>
      <c r="AI123" s="5">
        <f>$F$97*$F$96*$F$95*$F$88*$BP$90*($F$98+AI24-22)</f>
        <v>0.90246313922102617</v>
      </c>
      <c r="AJ123" s="5"/>
      <c r="AK123" s="5">
        <f>$F$97*$F$96*$F$95*$F$88*$BP$90*($F$98+AK24-22)</f>
        <v>0.97631627309110058</v>
      </c>
      <c r="AL123" s="5"/>
      <c r="AM123" s="5">
        <f>$F$97*$F$96*$F$95*$F$88*$BP$90*($F$98+AM24-22)</f>
        <v>0.9931885246868225</v>
      </c>
      <c r="AN123" s="5"/>
      <c r="AO123" s="5">
        <f>$F$97*$F$96*$F$95*$F$88*$BP$90*($F$98+AO24-22)</f>
        <v>1.0285311413220581</v>
      </c>
      <c r="AP123" s="5"/>
      <c r="AQ123" s="5">
        <f>$F$97*$F$96*$F$95*$F$88*$BP$90*($F$98+AQ24-22)</f>
        <v>1.0284075040405209</v>
      </c>
      <c r="AR123" s="5"/>
      <c r="AS123" s="5">
        <f>$F$97*$F$96*$F$95*$F$88*$BP$90*($F$98+AS24-22)</f>
        <v>1.064777587117298</v>
      </c>
      <c r="AT123" s="5"/>
      <c r="AU123" s="5">
        <f>$F$97*$F$96*$F$95*$F$88*$BP$90*($F$98+AU24-22)</f>
        <v>1.0546521798919311</v>
      </c>
      <c r="AV123" s="5"/>
      <c r="AW123" s="5">
        <f>$F$97*$F$96*$F$95*$F$88*$BP$90*($F$98+AW24-22)</f>
        <v>1.0806918601966711</v>
      </c>
      <c r="AX123" s="5"/>
      <c r="AY123" s="5">
        <f>$F$97*$F$96*$F$95*$F$88*$BP$90*($F$98+AY24-22)</f>
        <v>1.0904337088766223</v>
      </c>
      <c r="AZ123" s="5"/>
      <c r="BA123" s="5">
        <f t="shared" si="211"/>
        <v>1.7950585086798196</v>
      </c>
      <c r="BB123" s="5"/>
      <c r="BC123" s="5">
        <f t="shared" si="212"/>
        <v>1.7969093626681358</v>
      </c>
      <c r="BD123" s="5"/>
      <c r="BE123" s="5">
        <f t="shared" si="213"/>
        <v>1.8299323427002692</v>
      </c>
      <c r="BF123" s="5"/>
      <c r="BG123" s="5">
        <f t="shared" si="214"/>
        <v>1.8277590165368007</v>
      </c>
      <c r="BH123" s="5"/>
      <c r="BI123" s="5">
        <f t="shared" si="215"/>
        <v>1.8596144308097786</v>
      </c>
    </row>
    <row r="124" spans="2:70" x14ac:dyDescent="0.3">
      <c r="B124" s="23"/>
      <c r="C124" s="14">
        <f t="shared" si="219"/>
        <v>3.9999999999999964</v>
      </c>
      <c r="D124" s="60" t="s">
        <v>63</v>
      </c>
      <c r="E124" s="31">
        <f t="shared" si="220"/>
        <v>3.9999999999999964</v>
      </c>
      <c r="F124" s="32"/>
      <c r="G124" s="5">
        <f t="shared" ref="G124:G143" si="221">$F$95*$F$96*$F$97*$F$88*$BP$89*($F$98+G25-$BQ$89)</f>
        <v>-0.25667670537231302</v>
      </c>
      <c r="H124" s="32"/>
      <c r="I124" s="5">
        <f t="shared" ref="I124:I145" si="222">$F$95*$F$96*$F$97*$F$88*VLOOKUP(H$2,$BO$89:$BR$116,2,0)*($F$98+I25-(VLOOKUP(H$101,$BO$89:$BR$116,3,0)))</f>
        <v>-0.31235209685226822</v>
      </c>
      <c r="J124" s="32"/>
      <c r="K124" s="5">
        <f t="shared" si="216"/>
        <v>0.29662890192619956</v>
      </c>
      <c r="L124" s="5"/>
      <c r="M124" s="5">
        <f t="shared" si="217"/>
        <v>0.42563964928079162</v>
      </c>
      <c r="N124" s="32"/>
      <c r="O124" s="5">
        <f t="shared" ref="O124:O148" si="223">$F$95*$F$96*$F$97*$F$88*VLOOKUP(N$2,$BO$89:$BR$116,2,0)*($F$98+O25-(VLOOKUP(N$101,$BO$89:$BR$116,3,0)))</f>
        <v>0.74321921681296899</v>
      </c>
      <c r="P124" s="32"/>
      <c r="Q124" s="5">
        <f t="shared" ref="Q124:Q149" si="224">$F$95*$F$96*$F$97*$F$88*VLOOKUP(P$2,$BO$89:$BR$116,2,0)*($F$98+Q25-(VLOOKUP(P$101,$BO$89:$BR$116,3,0)))</f>
        <v>0.80239139481466104</v>
      </c>
      <c r="R124" s="32"/>
      <c r="S124" s="5">
        <f t="shared" ref="S124:S150" si="225">$F$95*$F$96*$F$97*$F$88*VLOOKUP(R$2,$BO$89:$BR$116,2,0)*($F$98+S25-$BQ$89)</f>
        <v>0.96172966379649294</v>
      </c>
      <c r="T124" s="32"/>
      <c r="U124" s="5">
        <f t="shared" ref="U124:U151" si="226">$F$95*$F$96*$F$97*$F$88*VLOOKUP(T$2,$BO$89:$BR$116,2,0)*($F$98+U25-(VLOOKUP(T$101,$BO$89:$BR$116,3,0)))</f>
        <v>1.0101384867267704</v>
      </c>
      <c r="V124" s="32"/>
      <c r="W124" s="5">
        <f t="shared" ref="W124:W152" si="227">$F$95*$F$96*$F$97*$F$88*VLOOKUP(V$2,$BO$89:$BR$116,2,0)*($F$98+W25-(VLOOKUP(V$101,$BO$89:$BR$116,3,0)))</f>
        <v>1.1351795626304479</v>
      </c>
      <c r="X124" s="32"/>
      <c r="Y124" s="5">
        <f t="shared" ref="Y124:Y153" si="228">$F$95*$F$96*$F$97*$F$88*VLOOKUP(X$2,$BO$89:$BR$116,2,0)*($F$98+Y25-(VLOOKUP(X$101,$BO$89:$BR$116,3,0)))</f>
        <v>1.1607825476500624</v>
      </c>
      <c r="Z124" s="32"/>
      <c r="AA124" s="5">
        <f t="shared" ref="AA124:AA154" si="229">$F$95*$F$96*$F$97*$F$88*VLOOKUP(Z$2,$BO$89:$BR$116,2,0)*($F$98+AA25-(VLOOKUP(Z$101,$BO$89:$BR$116,3,0)))</f>
        <v>1.2468246960787426</v>
      </c>
      <c r="AB124" s="32"/>
      <c r="AC124" s="5">
        <f t="shared" ref="AC124:AC155" si="230">$F$95*$F$96*$F$97*$F$88*VLOOKUP(AB$2,$BO$89:$BR$116,2,0)*($F$98+AC25-(VLOOKUP(AB$101,$BO$89:$BR$116,3,0)))</f>
        <v>1.2705804922592863</v>
      </c>
      <c r="AD124" s="32"/>
      <c r="AE124" s="5">
        <f t="shared" ref="AE124:AE156" si="231">$F$95*$F$96*$F$97*$F$88*VLOOKUP(AD$2,$BO$89:$BR$116,2,0)*($F$98+AE25-(VLOOKUP(AD$101,$BO$89:$BR$116,3,0)))</f>
        <v>1.347580948555924</v>
      </c>
      <c r="AF124" s="32"/>
      <c r="AG124" s="5">
        <f t="shared" ref="AG124:AG157" si="232">$F$95*$F$96*$F$97*$F$88*VLOOKUP(AF$2,$BO$89:$BR$116,2,0)*($F$98+AG25-(VLOOKUP(AF$101,$BO$89:$BR$116,3,0)))</f>
        <v>1.3873148092126903</v>
      </c>
      <c r="AH124" s="32"/>
      <c r="AI124" s="5">
        <f t="shared" ref="AI124:AI158" si="233">$F$95*$F$96*$F$97*$F$88*VLOOKUP(AH$2,$BO$89:$BR$116,2,0)*($F$98+AI25-(VLOOKUP(AH$101,$BO$89:$BR$116,3,0)))</f>
        <v>1.4752338423885969</v>
      </c>
      <c r="AJ124" s="32"/>
      <c r="AK124" s="5">
        <f t="shared" ref="AK124:AK159" si="234">$F$95*$F$96*$F$97*$F$88*VLOOKUP(AJ$2,$BO$89:$BR$116,2,0)*($F$98+AK25-(VLOOKUP(AJ$101,$BO$89:$BR$116,3,0)))</f>
        <v>1.5133910417339591</v>
      </c>
      <c r="AL124" s="32"/>
      <c r="AM124" s="5">
        <f t="shared" ref="AM124:AM160" si="235">$F$95*$F$96*$F$97*$F$88*VLOOKUP(AL$2,$BO$89:$BR$116,2,0)*($F$98+AM25-(VLOOKUP(AL$101,$BO$89:$BR$116,3,0)))</f>
        <v>1.5852165539611376</v>
      </c>
      <c r="AN124" s="32"/>
      <c r="AO124" s="5">
        <f t="shared" ref="AO124:AO161" si="236">$F$95*$F$96*$F$97*$F$88*VLOOKUP(AN$2,$BO$89:$BR$116,2,0)*($F$98+AO25-(VLOOKUP(AN$101,$BO$89:$BR$116,3,0)))</f>
        <v>1.6033065538723341</v>
      </c>
      <c r="AP124" s="32"/>
      <c r="AQ124" s="5">
        <f t="shared" ref="AQ124:AQ162" si="237">$F$95*$F$96*$F$97*$F$88*VLOOKUP(AP$2,$BO$89:$BR$116,2,0)*($F$98+AQ25-(VLOOKUP(AP$101,$BO$89:$BR$116,3,0)))</f>
        <v>1.6515193883130859</v>
      </c>
      <c r="AR124" s="32"/>
      <c r="AS124" s="5">
        <f t="shared" ref="AS124:AS163" si="238">$F$95*$F$96*$F$97*$F$88*VLOOKUP(AR$2,$BO$89:$BR$116,2,0)*($F$98+AS25-(VLOOKUP(AR$101,$BO$89:$BR$116,3,0)))</f>
        <v>1.6594896916165214</v>
      </c>
      <c r="AT124" s="32"/>
      <c r="AU124" s="5">
        <f t="shared" ref="AU124:AU164" si="239">$F$95*$F$96*$F$97*$F$88*VLOOKUP(AT$2,$BO$89:$BR$116,2,0)*($F$98+AU25-(VLOOKUP(AT$101,$BO$89:$BR$116,3,0)))</f>
        <v>1.7105991141859314</v>
      </c>
      <c r="AV124" s="32"/>
      <c r="AW124" s="5">
        <f t="shared" ref="AW124:AW165" si="240">$F$95*$F$96*$F$97*$F$88*VLOOKUP(AV$2,$BO$89:$BR$116,2,0)*($F$98+AW25-(VLOOKUP(AV$101,$BO$89:$BR$116,3,0)))</f>
        <v>1.7109329559215622</v>
      </c>
      <c r="AX124" s="32"/>
      <c r="AY124" s="5">
        <f t="shared" ref="AY124:AY166" si="241">$F$95*$F$96*$F$97*$F$88*VLOOKUP(AX$2,$BO$89:$BR$116,2,0)*($F$98+AY25-(VLOOKUP(AX$101,$BO$89:$BR$116,3,0)))</f>
        <v>1.76277916618821</v>
      </c>
      <c r="AZ124" s="32"/>
      <c r="BA124" s="5">
        <f t="shared" si="211"/>
        <v>1.7633575031361539</v>
      </c>
      <c r="BB124" s="32"/>
      <c r="BC124" s="5">
        <f t="shared" si="212"/>
        <v>1.8029368325782835</v>
      </c>
      <c r="BD124" s="32"/>
      <c r="BE124" s="5">
        <f t="shared" si="213"/>
        <v>1.8010507230070125</v>
      </c>
      <c r="BF124" s="32"/>
      <c r="BG124" s="5">
        <f t="shared" si="214"/>
        <v>1.8338277007513208</v>
      </c>
      <c r="BH124" s="32"/>
      <c r="BI124" s="5">
        <f t="shared" si="215"/>
        <v>1.8294276527779609</v>
      </c>
    </row>
    <row r="125" spans="2:70" x14ac:dyDescent="0.3">
      <c r="B125" s="23"/>
      <c r="C125" s="14">
        <f t="shared" si="219"/>
        <v>3.7999999999999963</v>
      </c>
      <c r="D125" s="60"/>
      <c r="E125" s="31">
        <f t="shared" si="220"/>
        <v>3.7999999999999963</v>
      </c>
      <c r="F125" s="5"/>
      <c r="G125" s="5">
        <f t="shared" si="221"/>
        <v>0.30600696306685238</v>
      </c>
      <c r="H125" s="5"/>
      <c r="I125" s="5">
        <f t="shared" si="222"/>
        <v>0.18217845468019442</v>
      </c>
      <c r="J125" s="5"/>
      <c r="K125" s="5">
        <f t="shared" si="216"/>
        <v>0.22473043318119504</v>
      </c>
      <c r="L125" s="5"/>
      <c r="M125" s="5">
        <f t="shared" si="217"/>
        <v>0.4941131102622095</v>
      </c>
      <c r="N125" s="5"/>
      <c r="O125" s="5">
        <f t="shared" si="223"/>
        <v>0.65379216768512183</v>
      </c>
      <c r="P125" s="5"/>
      <c r="Q125" s="5">
        <f t="shared" si="224"/>
        <v>0.85932651706333618</v>
      </c>
      <c r="R125" s="5"/>
      <c r="S125" s="5">
        <f t="shared" si="225"/>
        <v>0.92022780911324609</v>
      </c>
      <c r="T125" s="5"/>
      <c r="U125" s="5">
        <f t="shared" si="226"/>
        <v>1.0348477113611938</v>
      </c>
      <c r="V125" s="5"/>
      <c r="W125" s="5">
        <f t="shared" si="227"/>
        <v>1.0822614503935797</v>
      </c>
      <c r="X125" s="5"/>
      <c r="Y125" s="5">
        <f t="shared" si="228"/>
        <v>1.1865039464504203</v>
      </c>
      <c r="Z125" s="5"/>
      <c r="AA125" s="5">
        <f t="shared" si="229"/>
        <v>1.1959640664272482</v>
      </c>
      <c r="AB125" s="5"/>
      <c r="AC125" s="5">
        <f t="shared" si="230"/>
        <v>1.2880083636218138</v>
      </c>
      <c r="AD125" s="5"/>
      <c r="AE125" s="5">
        <f t="shared" si="231"/>
        <v>1.3227760148689027</v>
      </c>
      <c r="AF125" s="5"/>
      <c r="AG125" s="5">
        <f t="shared" si="232"/>
        <v>1.4319433691247248</v>
      </c>
      <c r="AH125" s="5"/>
      <c r="AI125" s="5">
        <f t="shared" si="233"/>
        <v>1.4622947193511378</v>
      </c>
      <c r="AJ125" s="5"/>
      <c r="AK125" s="5">
        <f t="shared" si="234"/>
        <v>1.5288592145076805</v>
      </c>
      <c r="AL125" s="5"/>
      <c r="AM125" s="5">
        <f t="shared" si="235"/>
        <v>1.5454059176128678</v>
      </c>
      <c r="AN125" s="5"/>
      <c r="AO125" s="5">
        <f t="shared" si="236"/>
        <v>1.6178679890254632</v>
      </c>
      <c r="AP125" s="5"/>
      <c r="AQ125" s="5">
        <f t="shared" si="237"/>
        <v>1.6174337923749289</v>
      </c>
      <c r="AR125" s="5"/>
      <c r="AS125" s="5">
        <f t="shared" si="238"/>
        <v>1.6633369622419276</v>
      </c>
      <c r="AT125" s="5"/>
      <c r="AU125" s="5">
        <f t="shared" si="239"/>
        <v>1.6884244925293466</v>
      </c>
      <c r="AV125" s="5"/>
      <c r="AW125" s="5">
        <f t="shared" si="240"/>
        <v>1.7293020674216171</v>
      </c>
      <c r="AX125" s="5"/>
      <c r="AY125" s="5">
        <f t="shared" si="241"/>
        <v>1.7331833345040122</v>
      </c>
      <c r="AZ125" s="5"/>
      <c r="BA125" s="5">
        <f t="shared" si="211"/>
        <v>1.7742154037799502</v>
      </c>
      <c r="BB125" s="5"/>
      <c r="BC125" s="5">
        <f t="shared" si="212"/>
        <v>1.7744515047345477</v>
      </c>
      <c r="BD125" s="5"/>
      <c r="BE125" s="5">
        <f t="shared" si="213"/>
        <v>1.8126483276240817</v>
      </c>
      <c r="BF125" s="5"/>
      <c r="BG125" s="5">
        <f t="shared" si="214"/>
        <v>1.8064884907941907</v>
      </c>
      <c r="BH125" s="5"/>
      <c r="BI125" s="5">
        <f t="shared" si="215"/>
        <v>1.8378866118519599</v>
      </c>
    </row>
    <row r="126" spans="2:70" x14ac:dyDescent="0.3">
      <c r="B126" s="23"/>
      <c r="C126" s="14">
        <f t="shared" si="219"/>
        <v>3.5999999999999961</v>
      </c>
      <c r="D126" s="60"/>
      <c r="E126" s="31">
        <f t="shared" si="220"/>
        <v>3.5999999999999961</v>
      </c>
      <c r="F126" s="5"/>
      <c r="G126" s="5">
        <f t="shared" si="221"/>
        <v>0.30600696306685238</v>
      </c>
      <c r="H126" s="5"/>
      <c r="I126" s="5">
        <f t="shared" si="222"/>
        <v>0.524545759587284</v>
      </c>
      <c r="J126" s="5"/>
      <c r="K126" s="5">
        <f t="shared" si="216"/>
        <v>0.42792175789533821</v>
      </c>
      <c r="L126" s="5"/>
      <c r="M126" s="5">
        <f t="shared" si="217"/>
        <v>0.53595800308418706</v>
      </c>
      <c r="N126" s="5"/>
      <c r="O126" s="5">
        <f t="shared" si="223"/>
        <v>0.76812295201312897</v>
      </c>
      <c r="P126" s="5"/>
      <c r="Q126" s="5">
        <f t="shared" si="224"/>
        <v>0.85235486944104921</v>
      </c>
      <c r="R126" s="5"/>
      <c r="S126" s="5">
        <f t="shared" si="225"/>
        <v>0.99848844937308279</v>
      </c>
      <c r="T126" s="5"/>
      <c r="U126" s="5">
        <f t="shared" si="226"/>
        <v>1.0288210712064565</v>
      </c>
      <c r="V126" s="5"/>
      <c r="W126" s="5">
        <f t="shared" si="227"/>
        <v>1.1325832916116116</v>
      </c>
      <c r="X126" s="5"/>
      <c r="Y126" s="5">
        <f t="shared" si="228"/>
        <v>1.168120484244759</v>
      </c>
      <c r="Z126" s="5"/>
      <c r="AA126" s="5">
        <f t="shared" si="229"/>
        <v>1.2372298226935681</v>
      </c>
      <c r="AB126" s="5"/>
      <c r="AC126" s="5">
        <f t="shared" si="230"/>
        <v>1.2643253420411336</v>
      </c>
      <c r="AD126" s="5"/>
      <c r="AE126" s="5">
        <f t="shared" si="231"/>
        <v>1.3549342289377739</v>
      </c>
      <c r="AF126" s="5"/>
      <c r="AG126" s="5">
        <f t="shared" si="232"/>
        <v>1.4173964341030956</v>
      </c>
      <c r="AH126" s="5"/>
      <c r="AI126" s="5">
        <f t="shared" si="233"/>
        <v>1.5040532545224568</v>
      </c>
      <c r="AJ126" s="5"/>
      <c r="AK126" s="5">
        <f t="shared" si="234"/>
        <v>1.5206532605337586</v>
      </c>
      <c r="AL126" s="5"/>
      <c r="AM126" s="5">
        <f t="shared" si="235"/>
        <v>1.5734082472049724</v>
      </c>
      <c r="AN126" s="5"/>
      <c r="AO126" s="5">
        <f t="shared" si="236"/>
        <v>1.597088924560393</v>
      </c>
      <c r="AP126" s="5"/>
      <c r="AQ126" s="5">
        <f t="shared" si="237"/>
        <v>1.6412688729529001</v>
      </c>
      <c r="AR126" s="5"/>
      <c r="AS126" s="5">
        <f t="shared" si="238"/>
        <v>1.6420634729479255</v>
      </c>
      <c r="AT126" s="5"/>
      <c r="AU126" s="5">
        <f t="shared" si="239"/>
        <v>1.7047193728624541</v>
      </c>
      <c r="AV126" s="5"/>
      <c r="AW126" s="5">
        <f t="shared" si="240"/>
        <v>1.7127815476573065</v>
      </c>
      <c r="AX126" s="5"/>
      <c r="AY126" s="5">
        <f t="shared" si="241"/>
        <v>1.7539711607807427</v>
      </c>
      <c r="AZ126" s="5"/>
      <c r="BA126" s="5">
        <f t="shared" si="211"/>
        <v>1.7544322218102337</v>
      </c>
      <c r="BB126" s="5"/>
      <c r="BC126" s="5">
        <f t="shared" si="212"/>
        <v>1.7915589411013506</v>
      </c>
      <c r="BD126" s="5"/>
      <c r="BE126" s="5">
        <f t="shared" si="213"/>
        <v>1.7923436041133043</v>
      </c>
      <c r="BF126" s="5"/>
      <c r="BG126" s="5">
        <f t="shared" si="214"/>
        <v>1.8226695149625662</v>
      </c>
      <c r="BH126" s="5"/>
      <c r="BI126" s="5">
        <f t="shared" si="215"/>
        <v>1.8175036848148673</v>
      </c>
    </row>
    <row r="127" spans="2:70" x14ac:dyDescent="0.3">
      <c r="B127" s="23"/>
      <c r="C127" s="14">
        <f t="shared" si="219"/>
        <v>3.3999999999999959</v>
      </c>
      <c r="D127" s="60"/>
      <c r="E127" s="31">
        <f t="shared" si="220"/>
        <v>3.3999999999999959</v>
      </c>
      <c r="F127" s="5"/>
      <c r="G127" s="5">
        <f t="shared" si="221"/>
        <v>0.30600696306685238</v>
      </c>
      <c r="H127" s="5"/>
      <c r="I127" s="5">
        <f t="shared" si="222"/>
        <v>0.524545759587284</v>
      </c>
      <c r="J127" s="5"/>
      <c r="K127" s="5">
        <f t="shared" si="216"/>
        <v>0.56859267500512944</v>
      </c>
      <c r="L127" s="5"/>
      <c r="M127" s="5">
        <f t="shared" si="217"/>
        <v>0.65959064096730258</v>
      </c>
      <c r="N127" s="5"/>
      <c r="O127" s="5">
        <f t="shared" si="223"/>
        <v>0.84396614557725269</v>
      </c>
      <c r="P127" s="5"/>
      <c r="Q127" s="5">
        <f t="shared" si="224"/>
        <v>0.94879599488268318</v>
      </c>
      <c r="R127" s="5"/>
      <c r="S127" s="5">
        <f t="shared" si="225"/>
        <v>1.0281326312896883</v>
      </c>
      <c r="T127" s="5"/>
      <c r="U127" s="5">
        <f t="shared" si="226"/>
        <v>1.1034007431213324</v>
      </c>
      <c r="V127" s="5"/>
      <c r="W127" s="5">
        <f t="shared" si="227"/>
        <v>1.1491536095847728</v>
      </c>
      <c r="X127" s="5"/>
      <c r="Y127" s="5">
        <f t="shared" si="228"/>
        <v>1.2241205266779709</v>
      </c>
      <c r="Z127" s="5"/>
      <c r="AA127" s="5">
        <f t="shared" si="229"/>
        <v>1.2411301777281918</v>
      </c>
      <c r="AB127" s="5"/>
      <c r="AC127" s="5">
        <f t="shared" si="230"/>
        <v>1.3107275413009551</v>
      </c>
      <c r="AD127" s="5"/>
      <c r="AE127" s="5">
        <f t="shared" si="231"/>
        <v>1.3508413653290086</v>
      </c>
      <c r="AF127" s="5"/>
      <c r="AG127" s="5">
        <f t="shared" si="232"/>
        <v>1.4557791906382165</v>
      </c>
      <c r="AH127" s="5"/>
      <c r="AI127" s="5">
        <f t="shared" si="233"/>
        <v>1.5006704116492036</v>
      </c>
      <c r="AJ127" s="5"/>
      <c r="AK127" s="5">
        <f t="shared" si="234"/>
        <v>1.5609102526037033</v>
      </c>
      <c r="AL127" s="5"/>
      <c r="AM127" s="5">
        <f t="shared" si="235"/>
        <v>1.5718506602184916</v>
      </c>
      <c r="AN127" s="5"/>
      <c r="AO127" s="5">
        <f t="shared" si="236"/>
        <v>1.6299972107071437</v>
      </c>
      <c r="AP127" s="5"/>
      <c r="AQ127" s="5">
        <f t="shared" si="237"/>
        <v>1.6329728240464125</v>
      </c>
      <c r="AR127" s="5"/>
      <c r="AS127" s="5">
        <f t="shared" si="238"/>
        <v>1.6706884626362886</v>
      </c>
      <c r="AT127" s="5"/>
      <c r="AU127" s="5">
        <f t="shared" si="239"/>
        <v>1.6939638786515776</v>
      </c>
      <c r="AV127" s="5"/>
      <c r="AW127" s="5">
        <f t="shared" si="240"/>
        <v>1.7358577033462395</v>
      </c>
      <c r="AX127" s="5"/>
      <c r="AY127" s="5">
        <f t="shared" si="241"/>
        <v>1.7441168857070888</v>
      </c>
      <c r="AZ127" s="5"/>
      <c r="BA127" s="5">
        <f t="shared" si="211"/>
        <v>1.7776947464735264</v>
      </c>
      <c r="BB127" s="5"/>
      <c r="BC127" s="5">
        <f t="shared" si="212"/>
        <v>1.7795403984553257</v>
      </c>
      <c r="BD127" s="5"/>
      <c r="BE127" s="5">
        <f t="shared" si="213"/>
        <v>1.8130286256652652</v>
      </c>
      <c r="BF127" s="5"/>
      <c r="BG127" s="5">
        <f t="shared" si="214"/>
        <v>1.809337515040583</v>
      </c>
      <c r="BH127" s="5"/>
      <c r="BI127" s="5">
        <f t="shared" si="215"/>
        <v>1.836582662202741</v>
      </c>
    </row>
    <row r="128" spans="2:70" x14ac:dyDescent="0.3">
      <c r="B128" s="23"/>
      <c r="C128" s="14">
        <f t="shared" si="219"/>
        <v>3.1999999999999957</v>
      </c>
      <c r="D128" s="60"/>
      <c r="E128" s="31">
        <f t="shared" si="220"/>
        <v>3.1999999999999957</v>
      </c>
      <c r="F128" s="5"/>
      <c r="G128" s="5">
        <f t="shared" si="221"/>
        <v>0.30600696306685238</v>
      </c>
      <c r="H128" s="5"/>
      <c r="I128" s="5">
        <f t="shared" si="222"/>
        <v>0.524545759587284</v>
      </c>
      <c r="J128" s="5"/>
      <c r="K128" s="5">
        <f t="shared" si="216"/>
        <v>0.56859267500512944</v>
      </c>
      <c r="L128" s="5"/>
      <c r="M128" s="5">
        <f t="shared" si="217"/>
        <v>0.7451824671940751</v>
      </c>
      <c r="N128" s="5"/>
      <c r="O128" s="5">
        <f t="shared" si="223"/>
        <v>0.91754536321408875</v>
      </c>
      <c r="P128" s="5"/>
      <c r="Q128" s="5">
        <f t="shared" si="224"/>
        <v>1.013864706024026</v>
      </c>
      <c r="R128" s="5"/>
      <c r="S128" s="5">
        <f t="shared" si="225"/>
        <v>1.0966106915170459</v>
      </c>
      <c r="T128" s="5"/>
      <c r="U128" s="5">
        <f t="shared" si="226"/>
        <v>1.1421219061155212</v>
      </c>
      <c r="V128" s="5"/>
      <c r="W128" s="5">
        <f t="shared" si="227"/>
        <v>1.2095550912288744</v>
      </c>
      <c r="X128" s="5"/>
      <c r="Y128" s="5">
        <f t="shared" si="228"/>
        <v>1.2502281326675235</v>
      </c>
      <c r="Z128" s="5"/>
      <c r="AA128" s="5">
        <f t="shared" si="229"/>
        <v>1.2918737967286473</v>
      </c>
      <c r="AB128" s="5"/>
      <c r="AC128" s="5">
        <f t="shared" si="230"/>
        <v>1.3262867357115184</v>
      </c>
      <c r="AD128" s="5"/>
      <c r="AE128" s="5">
        <f t="shared" si="231"/>
        <v>1.394931317375975</v>
      </c>
      <c r="AF128" s="5"/>
      <c r="AG128" s="5">
        <f t="shared" si="232"/>
        <v>1.4636014108418909</v>
      </c>
      <c r="AH128" s="5"/>
      <c r="AI128" s="5">
        <f t="shared" si="233"/>
        <v>1.5389846205270954</v>
      </c>
      <c r="AJ128" s="5"/>
      <c r="AK128" s="5">
        <f t="shared" si="234"/>
        <v>1.5660165790521905</v>
      </c>
      <c r="AL128" s="5"/>
      <c r="AM128" s="5">
        <f t="shared" si="235"/>
        <v>1.6093641450255916</v>
      </c>
      <c r="AN128" s="5"/>
      <c r="AO128" s="5">
        <f t="shared" si="236"/>
        <v>1.634253942546031</v>
      </c>
      <c r="AP128" s="5"/>
      <c r="AQ128" s="5">
        <f t="shared" si="237"/>
        <v>1.6661652545592449</v>
      </c>
      <c r="AR128" s="5"/>
      <c r="AS128" s="5">
        <f t="shared" si="238"/>
        <v>1.670528520037623</v>
      </c>
      <c r="AT128" s="5"/>
      <c r="AU128" s="5">
        <f t="shared" si="239"/>
        <v>1.7236663695545591</v>
      </c>
      <c r="AV128" s="5"/>
      <c r="AW128" s="5">
        <f t="shared" si="240"/>
        <v>1.7327314809286345</v>
      </c>
      <c r="AX128" s="5"/>
      <c r="AY128" s="5">
        <f t="shared" si="241"/>
        <v>1.7697174049871478</v>
      </c>
      <c r="AZ128" s="5"/>
      <c r="BA128" s="5">
        <f t="shared" si="211"/>
        <v>1.7735071956074613</v>
      </c>
      <c r="BB128" s="5"/>
      <c r="BC128" s="5">
        <f t="shared" si="212"/>
        <v>1.8036954512612431</v>
      </c>
      <c r="BD128" s="5"/>
      <c r="BE128" s="5">
        <f t="shared" si="213"/>
        <v>1.8067347874849917</v>
      </c>
      <c r="BF128" s="5"/>
      <c r="BG128" s="5">
        <f t="shared" si="214"/>
        <v>1.8312258560918826</v>
      </c>
      <c r="BH128" s="5"/>
      <c r="BI128" s="5">
        <f t="shared" si="215"/>
        <v>1.8284585202691199</v>
      </c>
    </row>
    <row r="129" spans="2:61" x14ac:dyDescent="0.3">
      <c r="B129" s="23"/>
      <c r="C129" s="14">
        <f t="shared" si="219"/>
        <v>2.9999999999999956</v>
      </c>
      <c r="D129" s="60"/>
      <c r="E129" s="31">
        <f t="shared" si="220"/>
        <v>2.9999999999999956</v>
      </c>
      <c r="F129" s="5"/>
      <c r="G129" s="5">
        <f t="shared" si="221"/>
        <v>0.30600696306685238</v>
      </c>
      <c r="H129" s="5"/>
      <c r="I129" s="5">
        <f t="shared" si="222"/>
        <v>0.524545759587284</v>
      </c>
      <c r="J129" s="5"/>
      <c r="K129" s="5">
        <f t="shared" si="216"/>
        <v>0.56859267500512944</v>
      </c>
      <c r="L129" s="5"/>
      <c r="M129" s="5">
        <f t="shared" si="217"/>
        <v>0.7451824671940751</v>
      </c>
      <c r="N129" s="5"/>
      <c r="O129" s="5">
        <f t="shared" si="223"/>
        <v>0.96848482157805238</v>
      </c>
      <c r="P129" s="5"/>
      <c r="Q129" s="5">
        <f t="shared" si="224"/>
        <v>1.051627797311413</v>
      </c>
      <c r="R129" s="5"/>
      <c r="S129" s="5">
        <f t="shared" si="225"/>
        <v>1.143152057126116</v>
      </c>
      <c r="T129" s="5"/>
      <c r="U129" s="5">
        <f t="shared" si="226"/>
        <v>1.1867190432605783</v>
      </c>
      <c r="V129" s="5"/>
      <c r="W129" s="5">
        <f t="shared" si="227"/>
        <v>1.2446047499831643</v>
      </c>
      <c r="X129" s="5"/>
      <c r="Y129" s="5">
        <f t="shared" si="228"/>
        <v>1.2947192008627373</v>
      </c>
      <c r="Z129" s="5"/>
      <c r="AA129" s="5">
        <f t="shared" si="229"/>
        <v>1.3188252500178987</v>
      </c>
      <c r="AB129" s="5"/>
      <c r="AC129" s="5">
        <f t="shared" si="230"/>
        <v>1.367397628654726</v>
      </c>
      <c r="AD129" s="5"/>
      <c r="AE129" s="5">
        <f t="shared" si="231"/>
        <v>1.4145631885841214</v>
      </c>
      <c r="AF129" s="5"/>
      <c r="AG129" s="5">
        <f t="shared" si="232"/>
        <v>1.5013830337452878</v>
      </c>
      <c r="AH129" s="5"/>
      <c r="AI129" s="5">
        <f t="shared" si="233"/>
        <v>1.5525241479840106</v>
      </c>
      <c r="AJ129" s="5"/>
      <c r="AK129" s="5">
        <f t="shared" si="234"/>
        <v>1.6004121303665457</v>
      </c>
      <c r="AL129" s="5"/>
      <c r="AM129" s="5">
        <f t="shared" si="235"/>
        <v>1.619396292244716</v>
      </c>
      <c r="AN129" s="5"/>
      <c r="AO129" s="5">
        <f t="shared" si="236"/>
        <v>1.6674513874269319</v>
      </c>
      <c r="AP129" s="5"/>
      <c r="AQ129" s="5">
        <f t="shared" si="237"/>
        <v>1.6741426613135928</v>
      </c>
      <c r="AR129" s="5"/>
      <c r="AS129" s="5">
        <f t="shared" si="238"/>
        <v>1.701094331192968</v>
      </c>
      <c r="AT129" s="5"/>
      <c r="AU129" s="5">
        <f t="shared" si="239"/>
        <v>1.728190409313163</v>
      </c>
      <c r="AV129" s="5"/>
      <c r="AW129" s="5">
        <f t="shared" si="240"/>
        <v>1.7606957922714359</v>
      </c>
      <c r="AX129" s="5"/>
      <c r="AY129" s="5">
        <f t="shared" si="241"/>
        <v>1.7712211867492058</v>
      </c>
      <c r="AZ129" s="5"/>
      <c r="BA129" s="5">
        <f t="shared" si="211"/>
        <v>1.7984214203636444</v>
      </c>
      <c r="BB129" s="5"/>
      <c r="BC129" s="5">
        <f t="shared" si="212"/>
        <v>1.8031590430160622</v>
      </c>
      <c r="BD129" s="5"/>
      <c r="BE129" s="5">
        <f t="shared" si="213"/>
        <v>1.8297190123457758</v>
      </c>
      <c r="BF129" s="5"/>
      <c r="BG129" s="5">
        <f t="shared" si="214"/>
        <v>1.8283472950346356</v>
      </c>
      <c r="BH129" s="5"/>
      <c r="BI129" s="5">
        <f t="shared" si="215"/>
        <v>1.8492797554987341</v>
      </c>
    </row>
    <row r="130" spans="2:61" x14ac:dyDescent="0.3">
      <c r="B130" s="23"/>
      <c r="C130" s="14">
        <f t="shared" si="219"/>
        <v>2.7999999999999954</v>
      </c>
      <c r="D130" s="60"/>
      <c r="E130" s="31">
        <f t="shared" si="220"/>
        <v>2.7999999999999954</v>
      </c>
      <c r="F130" s="5"/>
      <c r="G130" s="5">
        <f t="shared" si="221"/>
        <v>0.30600696306685238</v>
      </c>
      <c r="H130" s="5"/>
      <c r="I130" s="5">
        <f t="shared" si="222"/>
        <v>0.524545759587284</v>
      </c>
      <c r="J130" s="5"/>
      <c r="K130" s="5">
        <f t="shared" si="216"/>
        <v>0.56859267500512944</v>
      </c>
      <c r="L130" s="5"/>
      <c r="M130" s="5">
        <f t="shared" si="217"/>
        <v>0.7451824671940751</v>
      </c>
      <c r="N130" s="5"/>
      <c r="O130" s="5">
        <f t="shared" si="223"/>
        <v>0.96848482157805238</v>
      </c>
      <c r="P130" s="5"/>
      <c r="Q130" s="5">
        <f t="shared" si="224"/>
        <v>1.0777714758949881</v>
      </c>
      <c r="R130" s="5"/>
      <c r="S130" s="5">
        <f t="shared" si="225"/>
        <v>1.1624207753719091</v>
      </c>
      <c r="T130" s="5"/>
      <c r="U130" s="5">
        <f t="shared" si="226"/>
        <v>1.2171535760420025</v>
      </c>
      <c r="V130" s="5"/>
      <c r="W130" s="5">
        <f t="shared" si="227"/>
        <v>1.2721710393302197</v>
      </c>
      <c r="X130" s="5"/>
      <c r="Y130" s="5">
        <f t="shared" si="228"/>
        <v>1.3219854284198742</v>
      </c>
      <c r="Z130" s="5"/>
      <c r="AA130" s="5">
        <f t="shared" si="229"/>
        <v>1.34959905124108</v>
      </c>
      <c r="AB130" s="5"/>
      <c r="AC130" s="5">
        <f t="shared" si="230"/>
        <v>1.3908052662635384</v>
      </c>
      <c r="AD130" s="5"/>
      <c r="AE130" s="5">
        <f t="shared" si="231"/>
        <v>1.4455272378470452</v>
      </c>
      <c r="AF130" s="5"/>
      <c r="AG130" s="5">
        <f t="shared" si="232"/>
        <v>1.5204758859611756</v>
      </c>
      <c r="AH130" s="5"/>
      <c r="AI130" s="5">
        <f t="shared" si="233"/>
        <v>1.5826240464502717</v>
      </c>
      <c r="AJ130" s="5"/>
      <c r="AK130" s="5">
        <f t="shared" si="234"/>
        <v>1.6152699663882875</v>
      </c>
      <c r="AL130" s="5"/>
      <c r="AM130" s="5">
        <f t="shared" si="235"/>
        <v>1.6479742966037776</v>
      </c>
      <c r="AN130" s="5"/>
      <c r="AO130" s="5">
        <f t="shared" si="236"/>
        <v>1.6790823835143622</v>
      </c>
      <c r="AP130" s="5"/>
      <c r="AQ130" s="5">
        <f t="shared" si="237"/>
        <v>1.7018443011091757</v>
      </c>
      <c r="AR130" s="5"/>
      <c r="AS130" s="5">
        <f t="shared" si="238"/>
        <v>1.7102697310216401</v>
      </c>
      <c r="AT130" s="5"/>
      <c r="AU130" s="5">
        <f t="shared" si="239"/>
        <v>1.7542287804296401</v>
      </c>
      <c r="AV130" s="5"/>
      <c r="AW130" s="5">
        <f t="shared" si="240"/>
        <v>1.7668201461960462</v>
      </c>
      <c r="AX130" s="5"/>
      <c r="AY130" s="5">
        <f t="shared" si="241"/>
        <v>1.7953027068865206</v>
      </c>
      <c r="AZ130" s="5"/>
      <c r="BA130" s="5">
        <f t="shared" si="211"/>
        <v>1.8015391161636809</v>
      </c>
      <c r="BB130" s="5"/>
      <c r="BC130" s="5">
        <f t="shared" si="212"/>
        <v>1.824852931052634</v>
      </c>
      <c r="BD130" s="5"/>
      <c r="BE130" s="5">
        <f t="shared" si="213"/>
        <v>1.8302698574034328</v>
      </c>
      <c r="BF130" s="5"/>
      <c r="BG130" s="5">
        <f t="shared" si="214"/>
        <v>1.848004745047837</v>
      </c>
      <c r="BH130" s="5"/>
      <c r="BI130" s="5">
        <f t="shared" si="215"/>
        <v>1.847188956401129</v>
      </c>
    </row>
    <row r="131" spans="2:61" x14ac:dyDescent="0.3">
      <c r="B131" s="23"/>
      <c r="C131" s="14">
        <f t="shared" si="219"/>
        <v>2.5999999999999952</v>
      </c>
      <c r="D131" s="60"/>
      <c r="E131" s="31">
        <f t="shared" si="220"/>
        <v>2.5999999999999952</v>
      </c>
      <c r="F131" s="5"/>
      <c r="G131" s="5">
        <f t="shared" si="221"/>
        <v>0.30600696306685238</v>
      </c>
      <c r="H131" s="5"/>
      <c r="I131" s="5">
        <f t="shared" si="222"/>
        <v>0.524545759587284</v>
      </c>
      <c r="J131" s="5"/>
      <c r="K131" s="5">
        <f t="shared" si="216"/>
        <v>0.56859267500512944</v>
      </c>
      <c r="L131" s="5"/>
      <c r="M131" s="5">
        <f t="shared" si="217"/>
        <v>0.7451824671940751</v>
      </c>
      <c r="N131" s="5"/>
      <c r="O131" s="5">
        <f t="shared" si="223"/>
        <v>0.96848482157805238</v>
      </c>
      <c r="P131" s="5"/>
      <c r="Q131" s="5">
        <f t="shared" si="224"/>
        <v>1.0777714758949881</v>
      </c>
      <c r="R131" s="5"/>
      <c r="S131" s="5">
        <f t="shared" si="225"/>
        <v>1.1757606572343813</v>
      </c>
      <c r="T131" s="5"/>
      <c r="U131" s="5">
        <f t="shared" si="226"/>
        <v>1.2269468662934508</v>
      </c>
      <c r="V131" s="5"/>
      <c r="W131" s="5">
        <f t="shared" si="227"/>
        <v>1.2910321846729418</v>
      </c>
      <c r="X131" s="5"/>
      <c r="Y131" s="5">
        <f t="shared" si="228"/>
        <v>1.3384378546795623</v>
      </c>
      <c r="Z131" s="5"/>
      <c r="AA131" s="5">
        <f t="shared" si="229"/>
        <v>1.3690618228638534</v>
      </c>
      <c r="AB131" s="5"/>
      <c r="AC131" s="5">
        <f t="shared" si="230"/>
        <v>1.4111541747562411</v>
      </c>
      <c r="AD131" s="5"/>
      <c r="AE131" s="5">
        <f t="shared" si="231"/>
        <v>1.4638237255896203</v>
      </c>
      <c r="AF131" s="5"/>
      <c r="AG131" s="5">
        <f t="shared" si="232"/>
        <v>1.5425295083880837</v>
      </c>
      <c r="AH131" s="5"/>
      <c r="AI131" s="5">
        <f t="shared" si="233"/>
        <v>1.5986373404964378</v>
      </c>
      <c r="AJ131" s="5"/>
      <c r="AK131" s="5">
        <f t="shared" si="234"/>
        <v>1.6377451835781627</v>
      </c>
      <c r="AL131" s="5"/>
      <c r="AM131" s="5">
        <f t="shared" si="235"/>
        <v>1.6610978426815901</v>
      </c>
      <c r="AN131" s="5"/>
      <c r="AO131" s="5">
        <f t="shared" si="236"/>
        <v>1.7010552627422595</v>
      </c>
      <c r="AP131" s="5"/>
      <c r="AQ131" s="5">
        <f t="shared" si="237"/>
        <v>1.7121463844503255</v>
      </c>
      <c r="AR131" s="5"/>
      <c r="AS131" s="5">
        <f t="shared" si="238"/>
        <v>1.7315929026483852</v>
      </c>
      <c r="AT131" s="5"/>
      <c r="AU131" s="5">
        <f t="shared" si="239"/>
        <v>1.7619123277946847</v>
      </c>
      <c r="AV131" s="5"/>
      <c r="AW131" s="5">
        <f t="shared" si="240"/>
        <v>1.7868678310630284</v>
      </c>
      <c r="AX131" s="5"/>
      <c r="AY131" s="5">
        <f t="shared" si="241"/>
        <v>1.8000159953782877</v>
      </c>
      <c r="AZ131" s="5"/>
      <c r="BA131" s="5">
        <f t="shared" si="211"/>
        <v>1.8198928989862708</v>
      </c>
      <c r="BB131" s="5"/>
      <c r="BC131" s="5">
        <f t="shared" si="212"/>
        <v>1.8264881652366876</v>
      </c>
      <c r="BD131" s="5"/>
      <c r="BE131" s="5">
        <f t="shared" si="213"/>
        <v>1.846504046878428</v>
      </c>
      <c r="BF131" s="5"/>
      <c r="BG131" s="5">
        <f t="shared" si="214"/>
        <v>1.8467114161327061</v>
      </c>
      <c r="BH131" s="5"/>
      <c r="BI131" s="5">
        <f t="shared" si="215"/>
        <v>1.8612925004664926</v>
      </c>
    </row>
    <row r="132" spans="2:61" x14ac:dyDescent="0.3">
      <c r="B132" s="23"/>
      <c r="C132" s="14">
        <f t="shared" si="219"/>
        <v>2.399999999999995</v>
      </c>
      <c r="D132" s="60"/>
      <c r="E132" s="31">
        <f t="shared" si="220"/>
        <v>2.399999999999995</v>
      </c>
      <c r="F132" s="5"/>
      <c r="G132" s="5">
        <f t="shared" si="221"/>
        <v>0.30600696306685238</v>
      </c>
      <c r="H132" s="5"/>
      <c r="I132" s="5">
        <f t="shared" si="222"/>
        <v>0.524545759587284</v>
      </c>
      <c r="J132" s="5"/>
      <c r="K132" s="5">
        <f t="shared" si="216"/>
        <v>0.56859267500512944</v>
      </c>
      <c r="L132" s="5"/>
      <c r="M132" s="5">
        <f t="shared" si="217"/>
        <v>0.7451824671940751</v>
      </c>
      <c r="N132" s="5"/>
      <c r="O132" s="5">
        <f t="shared" si="223"/>
        <v>0.96848482157805238</v>
      </c>
      <c r="P132" s="5"/>
      <c r="Q132" s="5">
        <f t="shared" si="224"/>
        <v>1.0777714758949881</v>
      </c>
      <c r="R132" s="5"/>
      <c r="S132" s="5">
        <f t="shared" si="225"/>
        <v>1.1757606572343813</v>
      </c>
      <c r="T132" s="5"/>
      <c r="U132" s="5">
        <f t="shared" si="226"/>
        <v>1.2337268364675305</v>
      </c>
      <c r="V132" s="5"/>
      <c r="W132" s="5">
        <f t="shared" si="227"/>
        <v>1.295995643973658</v>
      </c>
      <c r="X132" s="5"/>
      <c r="Y132" s="5">
        <f t="shared" si="228"/>
        <v>1.3497151046040443</v>
      </c>
      <c r="Z132" s="5"/>
      <c r="AA132" s="5">
        <f t="shared" si="229"/>
        <v>1.3786371944738545</v>
      </c>
      <c r="AB132" s="5"/>
      <c r="AC132" s="5">
        <f t="shared" si="230"/>
        <v>1.4240627984375718</v>
      </c>
      <c r="AD132" s="5"/>
      <c r="AE132" s="5">
        <f t="shared" si="231"/>
        <v>1.476669668574758</v>
      </c>
      <c r="AF132" s="5"/>
      <c r="AG132" s="5">
        <f t="shared" si="232"/>
        <v>1.5552693010189091</v>
      </c>
      <c r="AH132" s="5"/>
      <c r="AI132" s="5">
        <f t="shared" si="233"/>
        <v>1.6132415349333058</v>
      </c>
      <c r="AJ132" s="5"/>
      <c r="AK132" s="5">
        <f t="shared" si="234"/>
        <v>1.6490034521510111</v>
      </c>
      <c r="AL132" s="5"/>
      <c r="AM132" s="5">
        <f t="shared" si="235"/>
        <v>1.6762647805808839</v>
      </c>
      <c r="AN132" s="5"/>
      <c r="AO132" s="5">
        <f t="shared" si="236"/>
        <v>1.7099417985093042</v>
      </c>
      <c r="AP132" s="5"/>
      <c r="AQ132" s="5">
        <f t="shared" si="237"/>
        <v>1.7269253680426917</v>
      </c>
      <c r="AR132" s="5"/>
      <c r="AS132" s="5">
        <f t="shared" si="238"/>
        <v>1.7377291924467886</v>
      </c>
      <c r="AT132" s="5"/>
      <c r="AU132" s="5">
        <f t="shared" si="239"/>
        <v>1.775834720320175</v>
      </c>
      <c r="AV132" s="5"/>
      <c r="AW132" s="5">
        <f t="shared" si="240"/>
        <v>1.7901404914428298</v>
      </c>
      <c r="AX132" s="5"/>
      <c r="AY132" s="5">
        <f t="shared" si="241"/>
        <v>1.812534183663508</v>
      </c>
      <c r="AZ132" s="5"/>
      <c r="BA132" s="5">
        <f t="shared" si="211"/>
        <v>1.8200366436873294</v>
      </c>
      <c r="BB132" s="5"/>
      <c r="BC132" s="5">
        <f t="shared" si="212"/>
        <v>1.8371782447854119</v>
      </c>
      <c r="BD132" s="5"/>
      <c r="BE132" s="5">
        <f t="shared" si="213"/>
        <v>1.8433728921045056</v>
      </c>
      <c r="BF132" s="5"/>
      <c r="BG132" s="5">
        <f t="shared" si="214"/>
        <v>1.855195567160312</v>
      </c>
      <c r="BH132" s="5"/>
      <c r="BI132" s="5">
        <f t="shared" si="215"/>
        <v>1.8549145604594037</v>
      </c>
    </row>
    <row r="133" spans="2:61" x14ac:dyDescent="0.3">
      <c r="B133" s="23"/>
      <c r="C133" s="14">
        <f t="shared" si="219"/>
        <v>2.1999999999999948</v>
      </c>
      <c r="D133" s="60"/>
      <c r="E133" s="31">
        <f t="shared" si="220"/>
        <v>2.1999999999999948</v>
      </c>
      <c r="F133" s="5"/>
      <c r="G133" s="5">
        <f t="shared" si="221"/>
        <v>0.30600696306685238</v>
      </c>
      <c r="H133" s="5"/>
      <c r="I133" s="5">
        <f t="shared" si="222"/>
        <v>0.524545759587284</v>
      </c>
      <c r="J133" s="5"/>
      <c r="K133" s="5">
        <f t="shared" si="216"/>
        <v>0.56859267500512944</v>
      </c>
      <c r="L133" s="5"/>
      <c r="M133" s="5">
        <f t="shared" si="217"/>
        <v>0.7451824671940751</v>
      </c>
      <c r="N133" s="5"/>
      <c r="O133" s="5">
        <f t="shared" si="223"/>
        <v>0.96848482157805238</v>
      </c>
      <c r="P133" s="5"/>
      <c r="Q133" s="5">
        <f t="shared" si="224"/>
        <v>1.0777714758949881</v>
      </c>
      <c r="R133" s="5"/>
      <c r="S133" s="5">
        <f t="shared" si="225"/>
        <v>1.1757606572343813</v>
      </c>
      <c r="T133" s="5"/>
      <c r="U133" s="5">
        <f t="shared" si="226"/>
        <v>1.2337268364675305</v>
      </c>
      <c r="V133" s="5"/>
      <c r="W133" s="5">
        <f t="shared" si="227"/>
        <v>1.2994318850280002</v>
      </c>
      <c r="X133" s="5"/>
      <c r="Y133" s="5">
        <f t="shared" si="228"/>
        <v>1.3522254513338083</v>
      </c>
      <c r="Z133" s="5"/>
      <c r="AA133" s="5">
        <f t="shared" si="229"/>
        <v>1.384770502765801</v>
      </c>
      <c r="AB133" s="5"/>
      <c r="AC133" s="5">
        <f t="shared" si="230"/>
        <v>1.4292114951973249</v>
      </c>
      <c r="AD133" s="5"/>
      <c r="AE133" s="5">
        <f t="shared" si="231"/>
        <v>1.4836810511490963</v>
      </c>
      <c r="AF133" s="5"/>
      <c r="AG133" s="5">
        <f t="shared" si="232"/>
        <v>1.5622471903747051</v>
      </c>
      <c r="AH133" s="5"/>
      <c r="AI133" s="5">
        <f t="shared" si="233"/>
        <v>1.6196213808491291</v>
      </c>
      <c r="AJ133" s="5"/>
      <c r="AK133" s="5">
        <f t="shared" si="234"/>
        <v>1.6567107278795155</v>
      </c>
      <c r="AL133" s="5"/>
      <c r="AM133" s="5">
        <f t="shared" si="235"/>
        <v>1.6808330895382835</v>
      </c>
      <c r="AN133" s="5"/>
      <c r="AO133" s="5">
        <f t="shared" si="236"/>
        <v>1.7174026033812018</v>
      </c>
      <c r="AP133" s="5"/>
      <c r="AQ133" s="5">
        <f t="shared" si="237"/>
        <v>1.7288481741545902</v>
      </c>
      <c r="AR133" s="5"/>
      <c r="AS133" s="5">
        <f t="shared" si="238"/>
        <v>1.7441504132326526</v>
      </c>
      <c r="AT133" s="5"/>
      <c r="AU133" s="5">
        <f t="shared" si="239"/>
        <v>1.7746745201039609</v>
      </c>
      <c r="AV133" s="5"/>
      <c r="AW133" s="5">
        <f t="shared" si="240"/>
        <v>1.7950506665895123</v>
      </c>
      <c r="AX133" s="5"/>
      <c r="AY133" s="5">
        <f t="shared" si="241"/>
        <v>1.8081075398485855</v>
      </c>
      <c r="AZ133" s="5"/>
      <c r="BA133" s="5">
        <f t="shared" si="211"/>
        <v>1.8230040017387097</v>
      </c>
      <c r="BB133" s="5"/>
      <c r="BC133" s="5">
        <f t="shared" si="212"/>
        <v>1.8292969818199762</v>
      </c>
      <c r="BD133" s="5"/>
      <c r="BE133" s="5">
        <f t="shared" si="213"/>
        <v>1.8440653614822378</v>
      </c>
      <c r="BF133" s="5"/>
      <c r="BG133" s="5">
        <f t="shared" si="214"/>
        <v>1.8437626307970227</v>
      </c>
      <c r="BH133" s="5"/>
      <c r="BI133" s="5">
        <f t="shared" si="215"/>
        <v>1.8530668009767444</v>
      </c>
    </row>
    <row r="134" spans="2:61" x14ac:dyDescent="0.3">
      <c r="B134" s="23"/>
      <c r="C134" s="14">
        <f t="shared" si="219"/>
        <v>1.9999999999999949</v>
      </c>
      <c r="D134" s="60"/>
      <c r="E134" s="31">
        <f t="shared" si="220"/>
        <v>1.9999999999999949</v>
      </c>
      <c r="F134" s="5"/>
      <c r="G134" s="5">
        <f t="shared" si="221"/>
        <v>0.30600696306685238</v>
      </c>
      <c r="H134" s="5"/>
      <c r="I134" s="5">
        <f t="shared" si="222"/>
        <v>0.524545759587284</v>
      </c>
      <c r="J134" s="5"/>
      <c r="K134" s="5">
        <f t="shared" si="216"/>
        <v>0.56859267500512944</v>
      </c>
      <c r="L134" s="5"/>
      <c r="M134" s="5">
        <f t="shared" si="217"/>
        <v>0.7451824671940751</v>
      </c>
      <c r="N134" s="5"/>
      <c r="O134" s="5">
        <f t="shared" si="223"/>
        <v>0.96848482157805238</v>
      </c>
      <c r="P134" s="5"/>
      <c r="Q134" s="5">
        <f t="shared" si="224"/>
        <v>1.0777714758949881</v>
      </c>
      <c r="R134" s="5"/>
      <c r="S134" s="5">
        <f t="shared" si="225"/>
        <v>1.1757606572343813</v>
      </c>
      <c r="T134" s="5"/>
      <c r="U134" s="5">
        <f t="shared" si="226"/>
        <v>1.2337268364675305</v>
      </c>
      <c r="V134" s="5"/>
      <c r="W134" s="5">
        <f t="shared" si="227"/>
        <v>1.2994318850280002</v>
      </c>
      <c r="X134" s="5"/>
      <c r="Y134" s="5">
        <f t="shared" si="228"/>
        <v>1.3530944175094961</v>
      </c>
      <c r="Z134" s="5"/>
      <c r="AA134" s="5">
        <f t="shared" si="229"/>
        <v>1.3854043104589271</v>
      </c>
      <c r="AB134" s="5"/>
      <c r="AC134" s="5">
        <f t="shared" si="230"/>
        <v>1.4302195972372</v>
      </c>
      <c r="AD134" s="5"/>
      <c r="AE134" s="5">
        <f t="shared" si="231"/>
        <v>1.4846968344902547</v>
      </c>
      <c r="AF134" s="5"/>
      <c r="AG134" s="5">
        <f t="shared" si="232"/>
        <v>1.5621898207749978</v>
      </c>
      <c r="AH134" s="5"/>
      <c r="AI134" s="5">
        <f t="shared" si="233"/>
        <v>1.620347261636286</v>
      </c>
      <c r="AJ134" s="5"/>
      <c r="AK134" s="5">
        <f t="shared" si="234"/>
        <v>1.654543480425841</v>
      </c>
      <c r="AL134" s="5"/>
      <c r="AM134" s="5">
        <f t="shared" si="235"/>
        <v>1.6805195750313877</v>
      </c>
      <c r="AN134" s="5"/>
      <c r="AO134" s="5">
        <f t="shared" si="236"/>
        <v>1.7123455101011209</v>
      </c>
      <c r="AP134" s="5"/>
      <c r="AQ134" s="5">
        <f t="shared" si="237"/>
        <v>1.7268617275576583</v>
      </c>
      <c r="AR134" s="5"/>
      <c r="AS134" s="5">
        <f t="shared" si="238"/>
        <v>1.7357020890610684</v>
      </c>
      <c r="AT134" s="5"/>
      <c r="AU134" s="5">
        <f t="shared" si="239"/>
        <v>1.7705395095020759</v>
      </c>
      <c r="AV134" s="5"/>
      <c r="AW134" s="5">
        <f t="shared" si="240"/>
        <v>1.7829524833667896</v>
      </c>
      <c r="AX134" s="5"/>
      <c r="AY134" s="5">
        <f t="shared" si="241"/>
        <v>1.8015066297896327</v>
      </c>
      <c r="AZ134" s="5"/>
      <c r="BA134" s="5">
        <f t="shared" si="211"/>
        <v>1.807141242302077</v>
      </c>
      <c r="BB134" s="5"/>
      <c r="BC134" s="5">
        <f t="shared" si="212"/>
        <v>1.8199882404598209</v>
      </c>
      <c r="BD134" s="5"/>
      <c r="BE134" s="5">
        <f t="shared" si="213"/>
        <v>1.8243867604094475</v>
      </c>
      <c r="BF134" s="5"/>
      <c r="BG134" s="5">
        <f t="shared" si="214"/>
        <v>1.831591540519298</v>
      </c>
      <c r="BH134" s="5"/>
      <c r="BI134" s="5">
        <f t="shared" si="215"/>
        <v>1.8296032037393268</v>
      </c>
    </row>
    <row r="135" spans="2:61" x14ac:dyDescent="0.3">
      <c r="B135" s="23"/>
      <c r="C135" s="14">
        <f t="shared" si="219"/>
        <v>1.7999999999999949</v>
      </c>
      <c r="D135" s="60"/>
      <c r="E135" s="31">
        <f t="shared" si="220"/>
        <v>1.7999999999999949</v>
      </c>
      <c r="F135" s="5"/>
      <c r="G135" s="5">
        <f t="shared" si="221"/>
        <v>0.30600696306685238</v>
      </c>
      <c r="H135" s="5"/>
      <c r="I135" s="5">
        <f t="shared" si="222"/>
        <v>0.524545759587284</v>
      </c>
      <c r="J135" s="5"/>
      <c r="K135" s="5">
        <f t="shared" si="216"/>
        <v>0.56859267500512944</v>
      </c>
      <c r="L135" s="5"/>
      <c r="M135" s="5">
        <f t="shared" si="217"/>
        <v>0.7451824671940751</v>
      </c>
      <c r="N135" s="5"/>
      <c r="O135" s="5">
        <f t="shared" si="223"/>
        <v>0.96848482157805238</v>
      </c>
      <c r="P135" s="5"/>
      <c r="Q135" s="5">
        <f t="shared" si="224"/>
        <v>1.0777714758949881</v>
      </c>
      <c r="R135" s="5"/>
      <c r="S135" s="5">
        <f t="shared" si="225"/>
        <v>1.1757606572343813</v>
      </c>
      <c r="T135" s="5"/>
      <c r="U135" s="5">
        <f t="shared" si="226"/>
        <v>1.2337268364675305</v>
      </c>
      <c r="V135" s="5"/>
      <c r="W135" s="5">
        <f t="shared" si="227"/>
        <v>1.2977137645008294</v>
      </c>
      <c r="X135" s="5"/>
      <c r="Y135" s="5">
        <f t="shared" si="228"/>
        <v>1.3518392441446143</v>
      </c>
      <c r="Z135" s="5"/>
      <c r="AA135" s="5">
        <f t="shared" si="229"/>
        <v>1.3812699341222259</v>
      </c>
      <c r="AB135" s="5"/>
      <c r="AC135" s="5">
        <f t="shared" si="230"/>
        <v>1.4270871045571976</v>
      </c>
      <c r="AD135" s="5"/>
      <c r="AE135" s="5">
        <f t="shared" si="231"/>
        <v>1.4775714859800797</v>
      </c>
      <c r="AF135" s="5"/>
      <c r="AG135" s="5">
        <f t="shared" si="232"/>
        <v>1.5566549015683799</v>
      </c>
      <c r="AH135" s="5"/>
      <c r="AI135" s="5">
        <f t="shared" si="233"/>
        <v>1.6096566751080519</v>
      </c>
      <c r="AJ135" s="5"/>
      <c r="AK135" s="5">
        <f t="shared" si="234"/>
        <v>1.6462123049064215</v>
      </c>
      <c r="AL135" s="5"/>
      <c r="AM135" s="5">
        <f t="shared" si="235"/>
        <v>1.6658832976826918</v>
      </c>
      <c r="AN135" s="5"/>
      <c r="AO135" s="5">
        <f t="shared" si="236"/>
        <v>1.7009285169535024</v>
      </c>
      <c r="AP135" s="5"/>
      <c r="AQ135" s="5">
        <f t="shared" si="237"/>
        <v>1.7081079319628338</v>
      </c>
      <c r="AR135" s="5"/>
      <c r="AS135" s="5">
        <f t="shared" si="238"/>
        <v>1.7210406641178413</v>
      </c>
      <c r="AT135" s="5"/>
      <c r="AU135" s="5">
        <f t="shared" si="239"/>
        <v>1.7475845740570806</v>
      </c>
      <c r="AV135" s="5"/>
      <c r="AW135" s="5">
        <f t="shared" si="240"/>
        <v>1.7648818903177308</v>
      </c>
      <c r="AX135" s="5"/>
      <c r="AY135" s="5">
        <f t="shared" si="241"/>
        <v>1.7743009732897117</v>
      </c>
      <c r="AZ135" s="5"/>
      <c r="BA135" s="5">
        <f t="shared" si="211"/>
        <v>1.7856077936061323</v>
      </c>
      <c r="BB135" s="5"/>
      <c r="BC135" s="5">
        <f t="shared" si="212"/>
        <v>1.7886146222224224</v>
      </c>
      <c r="BD135" s="5"/>
      <c r="BE135" s="5">
        <f t="shared" si="213"/>
        <v>1.7994118504756205</v>
      </c>
      <c r="BF135" s="5"/>
      <c r="BG135" s="5">
        <f t="shared" si="214"/>
        <v>1.7962062311014306</v>
      </c>
      <c r="BH135" s="5"/>
      <c r="BI135" s="5">
        <f t="shared" si="215"/>
        <v>1.8013060687795006</v>
      </c>
    </row>
    <row r="136" spans="2:61" x14ac:dyDescent="0.3">
      <c r="B136" s="23"/>
      <c r="C136" s="14">
        <f t="shared" si="219"/>
        <v>1.599999999999995</v>
      </c>
      <c r="D136" s="60"/>
      <c r="E136" s="31">
        <f t="shared" si="220"/>
        <v>1.599999999999995</v>
      </c>
      <c r="F136" s="5"/>
      <c r="G136" s="5">
        <f t="shared" si="221"/>
        <v>0.30600696306685238</v>
      </c>
      <c r="H136" s="5"/>
      <c r="I136" s="5">
        <f t="shared" si="222"/>
        <v>0.524545759587284</v>
      </c>
      <c r="J136" s="5"/>
      <c r="K136" s="5">
        <f t="shared" si="216"/>
        <v>0.56859267500512944</v>
      </c>
      <c r="L136" s="5"/>
      <c r="M136" s="5">
        <f t="shared" si="217"/>
        <v>0.7451824671940751</v>
      </c>
      <c r="N136" s="5"/>
      <c r="O136" s="5">
        <f t="shared" si="223"/>
        <v>0.96848482157805238</v>
      </c>
      <c r="P136" s="5"/>
      <c r="Q136" s="5">
        <f t="shared" si="224"/>
        <v>1.0777714758949881</v>
      </c>
      <c r="R136" s="5"/>
      <c r="S136" s="5">
        <f t="shared" si="225"/>
        <v>1.1757606572343813</v>
      </c>
      <c r="T136" s="5"/>
      <c r="U136" s="5">
        <f t="shared" si="226"/>
        <v>1.2303368513804909</v>
      </c>
      <c r="V136" s="5"/>
      <c r="W136" s="5">
        <f t="shared" si="227"/>
        <v>1.2952320348504709</v>
      </c>
      <c r="X136" s="5"/>
      <c r="Y136" s="5">
        <f t="shared" si="228"/>
        <v>1.3427826855580012</v>
      </c>
      <c r="Z136" s="5"/>
      <c r="AA136" s="5">
        <f t="shared" si="229"/>
        <v>1.374424811036461</v>
      </c>
      <c r="AB136" s="5"/>
      <c r="AC136" s="5">
        <f t="shared" si="230"/>
        <v>1.4119360685335103</v>
      </c>
      <c r="AD136" s="5"/>
      <c r="AE136" s="5">
        <f t="shared" si="231"/>
        <v>1.4655604673509663</v>
      </c>
      <c r="AF136" s="5"/>
      <c r="AG136" s="5">
        <f t="shared" si="232"/>
        <v>1.5354605759718811</v>
      </c>
      <c r="AH136" s="5"/>
      <c r="AI136" s="5">
        <f t="shared" si="233"/>
        <v>1.5923597578202924</v>
      </c>
      <c r="AJ136" s="5"/>
      <c r="AK136" s="5">
        <f t="shared" si="234"/>
        <v>1.6192530839614221</v>
      </c>
      <c r="AL136" s="5"/>
      <c r="AM136" s="5">
        <f t="shared" si="235"/>
        <v>1.6434671689404445</v>
      </c>
      <c r="AN136" s="5"/>
      <c r="AO136" s="5">
        <f t="shared" si="236"/>
        <v>1.6686357281012782</v>
      </c>
      <c r="AP136" s="5"/>
      <c r="AQ136" s="5">
        <f t="shared" si="237"/>
        <v>1.6808854746384216</v>
      </c>
      <c r="AR136" s="5"/>
      <c r="AS136" s="5">
        <f t="shared" si="238"/>
        <v>1.6837446425797371</v>
      </c>
      <c r="AT136" s="5"/>
      <c r="AU136" s="5">
        <f t="shared" si="239"/>
        <v>1.7156997298729952</v>
      </c>
      <c r="AV136" s="5"/>
      <c r="AW136" s="5">
        <f t="shared" si="240"/>
        <v>1.7227393998076166</v>
      </c>
      <c r="AX136" s="5"/>
      <c r="AY136" s="5">
        <f t="shared" si="241"/>
        <v>1.7379615286969146</v>
      </c>
      <c r="AZ136" s="5"/>
      <c r="BA136" s="5">
        <f t="shared" si="211"/>
        <v>1.7388965253082782</v>
      </c>
      <c r="BB136" s="5"/>
      <c r="BC136" s="5">
        <f t="shared" si="212"/>
        <v>1.7481034033690726</v>
      </c>
      <c r="BD136" s="5"/>
      <c r="BE136" s="5">
        <f t="shared" si="213"/>
        <v>1.7484935162786961</v>
      </c>
      <c r="BF136" s="5"/>
      <c r="BG136" s="5">
        <f t="shared" si="214"/>
        <v>1.7519144437544487</v>
      </c>
      <c r="BH136" s="5"/>
      <c r="BI136" s="5">
        <f t="shared" si="215"/>
        <v>1.7464899678884287</v>
      </c>
    </row>
    <row r="137" spans="2:61" x14ac:dyDescent="0.3">
      <c r="B137" s="23"/>
      <c r="C137" s="14">
        <f t="shared" si="219"/>
        <v>1.399999999999995</v>
      </c>
      <c r="D137" s="60"/>
      <c r="E137" s="31">
        <f t="shared" si="220"/>
        <v>1.399999999999995</v>
      </c>
      <c r="F137" s="5"/>
      <c r="G137" s="5">
        <f t="shared" si="221"/>
        <v>0.30600696306685238</v>
      </c>
      <c r="H137" s="5"/>
      <c r="I137" s="5">
        <f t="shared" si="222"/>
        <v>0.524545759587284</v>
      </c>
      <c r="J137" s="5"/>
      <c r="K137" s="5">
        <f t="shared" si="216"/>
        <v>0.56859267500512944</v>
      </c>
      <c r="L137" s="5"/>
      <c r="M137" s="5">
        <f t="shared" si="217"/>
        <v>0.7451824671940751</v>
      </c>
      <c r="N137" s="5"/>
      <c r="O137" s="5">
        <f t="shared" si="223"/>
        <v>0.96848482157805238</v>
      </c>
      <c r="P137" s="5"/>
      <c r="Q137" s="5">
        <f t="shared" si="224"/>
        <v>1.0777714758949881</v>
      </c>
      <c r="R137" s="5"/>
      <c r="S137" s="5">
        <f t="shared" si="225"/>
        <v>1.1690907163031448</v>
      </c>
      <c r="T137" s="5"/>
      <c r="U137" s="5">
        <f t="shared" si="226"/>
        <v>1.2254402062547665</v>
      </c>
      <c r="V137" s="5"/>
      <c r="W137" s="5">
        <f t="shared" si="227"/>
        <v>1.2790435214389038</v>
      </c>
      <c r="X137" s="5"/>
      <c r="Y137" s="5">
        <f t="shared" si="228"/>
        <v>1.3304819865821544</v>
      </c>
      <c r="Z137" s="5"/>
      <c r="AA137" s="5">
        <f t="shared" si="229"/>
        <v>1.3485167027189719</v>
      </c>
      <c r="AB137" s="5"/>
      <c r="AC137" s="5">
        <f t="shared" si="230"/>
        <v>1.3912281773631934</v>
      </c>
      <c r="AD137" s="5"/>
      <c r="AE137" s="5">
        <f t="shared" si="231"/>
        <v>1.4305828351302938</v>
      </c>
      <c r="AF137" s="5"/>
      <c r="AG137" s="5">
        <f t="shared" si="232"/>
        <v>1.5066111503099884</v>
      </c>
      <c r="AH137" s="5"/>
      <c r="AI137" s="5">
        <f t="shared" si="233"/>
        <v>1.5494273912291179</v>
      </c>
      <c r="AJ137" s="5"/>
      <c r="AK137" s="5">
        <f t="shared" si="234"/>
        <v>1.582975739850002</v>
      </c>
      <c r="AL137" s="5"/>
      <c r="AM137" s="5">
        <f t="shared" si="235"/>
        <v>1.5938130012796257</v>
      </c>
      <c r="AN137" s="5"/>
      <c r="AO137" s="5">
        <f t="shared" si="236"/>
        <v>1.625836732422659</v>
      </c>
      <c r="AP137" s="5"/>
      <c r="AQ137" s="5">
        <f t="shared" si="237"/>
        <v>1.6253370851473334</v>
      </c>
      <c r="AR137" s="5"/>
      <c r="AS137" s="5">
        <f t="shared" si="238"/>
        <v>1.6348662967947307</v>
      </c>
      <c r="AT137" s="5"/>
      <c r="AU137" s="5">
        <f t="shared" si="239"/>
        <v>1.6546526414567657</v>
      </c>
      <c r="AV137" s="5"/>
      <c r="AW137" s="5">
        <f t="shared" si="240"/>
        <v>1.6683590318664059</v>
      </c>
      <c r="AX137" s="5"/>
      <c r="AY137" s="5">
        <f t="shared" si="241"/>
        <v>1.6720191504688602</v>
      </c>
      <c r="AZ137" s="5"/>
      <c r="BA137" s="5">
        <f t="shared" si="211"/>
        <v>1.6796311922728386</v>
      </c>
      <c r="BB137" s="5"/>
      <c r="BC137" s="5">
        <f t="shared" si="212"/>
        <v>1.6779051084123862</v>
      </c>
      <c r="BD137" s="5"/>
      <c r="BE137" s="5">
        <f t="shared" si="213"/>
        <v>1.6851022512162963</v>
      </c>
      <c r="BF137" s="5"/>
      <c r="BG137" s="5">
        <f t="shared" si="214"/>
        <v>1.6779220793947294</v>
      </c>
      <c r="BH137" s="5"/>
      <c r="BI137" s="5">
        <f t="shared" si="215"/>
        <v>1.6795231678669815</v>
      </c>
    </row>
    <row r="138" spans="2:61" x14ac:dyDescent="0.3">
      <c r="B138" s="23"/>
      <c r="C138" s="14">
        <f t="shared" si="219"/>
        <v>1.1999999999999951</v>
      </c>
      <c r="D138" s="60"/>
      <c r="E138" s="31">
        <f t="shared" si="220"/>
        <v>1.1999999999999951</v>
      </c>
      <c r="F138" s="5"/>
      <c r="G138" s="5">
        <f t="shared" si="221"/>
        <v>0.30600696306685238</v>
      </c>
      <c r="H138" s="5"/>
      <c r="I138" s="5">
        <f t="shared" si="222"/>
        <v>0.524545759587284</v>
      </c>
      <c r="J138" s="5"/>
      <c r="K138" s="5">
        <f t="shared" si="216"/>
        <v>0.56859267500512944</v>
      </c>
      <c r="L138" s="5"/>
      <c r="M138" s="5">
        <f t="shared" si="217"/>
        <v>0.7451824671940751</v>
      </c>
      <c r="N138" s="5"/>
      <c r="O138" s="5">
        <f t="shared" si="223"/>
        <v>0.96848482157805238</v>
      </c>
      <c r="P138" s="5"/>
      <c r="Q138" s="5">
        <f t="shared" si="224"/>
        <v>1.0646996366032007</v>
      </c>
      <c r="R138" s="5"/>
      <c r="S138" s="5">
        <f t="shared" si="225"/>
        <v>1.1594563571802488</v>
      </c>
      <c r="T138" s="5"/>
      <c r="U138" s="5">
        <f t="shared" si="226"/>
        <v>1.1968889985216979</v>
      </c>
      <c r="V138" s="5"/>
      <c r="W138" s="5">
        <f t="shared" si="227"/>
        <v>1.2572043005157518</v>
      </c>
      <c r="X138" s="5"/>
      <c r="Y138" s="5">
        <f t="shared" si="228"/>
        <v>1.288230920084269</v>
      </c>
      <c r="Z138" s="5"/>
      <c r="AA138" s="5">
        <f t="shared" si="229"/>
        <v>1.3143008381777348</v>
      </c>
      <c r="AB138" s="5"/>
      <c r="AC138" s="5">
        <f t="shared" si="230"/>
        <v>1.3369529470504922</v>
      </c>
      <c r="AD138" s="5"/>
      <c r="AE138" s="5">
        <f t="shared" si="231"/>
        <v>1.385283853155314</v>
      </c>
      <c r="AF138" s="5"/>
      <c r="AG138" s="5">
        <f t="shared" si="232"/>
        <v>1.4424607133494669</v>
      </c>
      <c r="AH138" s="5"/>
      <c r="AI138" s="5">
        <f t="shared" si="233"/>
        <v>1.4945672411241646</v>
      </c>
      <c r="AJ138" s="5"/>
      <c r="AK138" s="5">
        <f t="shared" si="234"/>
        <v>1.511122229198042</v>
      </c>
      <c r="AL138" s="5"/>
      <c r="AM138" s="5">
        <f t="shared" si="235"/>
        <v>1.5310222904785262</v>
      </c>
      <c r="AN138" s="5"/>
      <c r="AO138" s="5">
        <f t="shared" si="236"/>
        <v>1.5474998735515118</v>
      </c>
      <c r="AP138" s="5"/>
      <c r="AQ138" s="5">
        <f t="shared" si="237"/>
        <v>1.5551827246387695</v>
      </c>
      <c r="AR138" s="5"/>
      <c r="AS138" s="5">
        <f t="shared" si="238"/>
        <v>1.5505083444511198</v>
      </c>
      <c r="AT138" s="5"/>
      <c r="AU138" s="5">
        <f t="shared" si="239"/>
        <v>1.5781418756499466</v>
      </c>
      <c r="AV138" s="5"/>
      <c r="AW138" s="5">
        <f t="shared" si="240"/>
        <v>1.5790303695798331</v>
      </c>
      <c r="AX138" s="5"/>
      <c r="AY138" s="5">
        <f t="shared" si="241"/>
        <v>1.5901762056529813</v>
      </c>
      <c r="AZ138" s="5"/>
      <c r="BA138" s="5">
        <f t="shared" si="211"/>
        <v>1.5863334242429283</v>
      </c>
      <c r="BB138" s="5"/>
      <c r="BC138" s="5">
        <f t="shared" si="212"/>
        <v>1.5919634066481927</v>
      </c>
      <c r="BD138" s="5"/>
      <c r="BE138" s="5">
        <f t="shared" si="213"/>
        <v>1.5883990372879797</v>
      </c>
      <c r="BF138" s="5"/>
      <c r="BG138" s="5">
        <f t="shared" si="214"/>
        <v>1.5885912141340428</v>
      </c>
      <c r="BH138" s="5"/>
      <c r="BI138" s="5">
        <f t="shared" si="215"/>
        <v>1.5800586457252019</v>
      </c>
    </row>
    <row r="139" spans="2:61" x14ac:dyDescent="0.3">
      <c r="B139" s="23"/>
      <c r="C139" s="14">
        <f>C138-0.2</f>
        <v>0.99999999999999512</v>
      </c>
      <c r="D139" s="60"/>
      <c r="E139" s="31">
        <f t="shared" si="220"/>
        <v>0.99999999999999512</v>
      </c>
      <c r="F139" s="5"/>
      <c r="G139" s="5">
        <f t="shared" si="221"/>
        <v>0.30600696306685238</v>
      </c>
      <c r="H139" s="5"/>
      <c r="I139" s="5">
        <f t="shared" si="222"/>
        <v>0.524545759587284</v>
      </c>
      <c r="J139" s="5"/>
      <c r="K139" s="5">
        <f t="shared" si="216"/>
        <v>0.56859267500512944</v>
      </c>
      <c r="L139" s="5"/>
      <c r="M139" s="5">
        <f t="shared" si="217"/>
        <v>0.7451824671940751</v>
      </c>
      <c r="N139" s="5"/>
      <c r="O139" s="5">
        <f t="shared" si="223"/>
        <v>0.9430150923960704</v>
      </c>
      <c r="P139" s="5"/>
      <c r="Q139" s="5">
        <f t="shared" si="224"/>
        <v>1.0458180909595074</v>
      </c>
      <c r="R139" s="5"/>
      <c r="S139" s="5">
        <f t="shared" si="225"/>
        <v>1.1099505733795181</v>
      </c>
      <c r="T139" s="5"/>
      <c r="U139" s="5">
        <f t="shared" si="226"/>
        <v>1.158695166541049</v>
      </c>
      <c r="V139" s="5"/>
      <c r="W139" s="5">
        <f t="shared" si="227"/>
        <v>1.1898539758506466</v>
      </c>
      <c r="X139" s="5"/>
      <c r="Y139" s="5">
        <f t="shared" si="228"/>
        <v>1.2327715677159294</v>
      </c>
      <c r="Z139" s="5"/>
      <c r="AA139" s="5">
        <f t="shared" si="229"/>
        <v>1.2325884002023655</v>
      </c>
      <c r="AB139" s="5"/>
      <c r="AC139" s="5">
        <f t="shared" si="230"/>
        <v>1.2677479714057831</v>
      </c>
      <c r="AD139" s="5"/>
      <c r="AE139" s="5">
        <f t="shared" si="231"/>
        <v>1.2928252714267925</v>
      </c>
      <c r="AF139" s="5"/>
      <c r="AG139" s="5">
        <f t="shared" si="232"/>
        <v>1.3622542714619525</v>
      </c>
      <c r="AH139" s="5"/>
      <c r="AI139" s="5">
        <f t="shared" si="233"/>
        <v>1.3945801427569233</v>
      </c>
      <c r="AJ139" s="5"/>
      <c r="AK139" s="5">
        <f t="shared" si="234"/>
        <v>1.4224448727180887</v>
      </c>
      <c r="AL139" s="5"/>
      <c r="AM139" s="5">
        <f t="shared" si="235"/>
        <v>1.4247186825343845</v>
      </c>
      <c r="AN139" s="5"/>
      <c r="AO139" s="5">
        <f t="shared" si="236"/>
        <v>1.4505801076166018</v>
      </c>
      <c r="AP139" s="5"/>
      <c r="AQ139" s="5">
        <f t="shared" si="237"/>
        <v>1.4426708243185242</v>
      </c>
      <c r="AR139" s="5"/>
      <c r="AS139" s="5">
        <f t="shared" si="238"/>
        <v>1.4469168682247877</v>
      </c>
      <c r="AT139" s="5"/>
      <c r="AU139" s="5">
        <f t="shared" si="239"/>
        <v>1.461131418580415</v>
      </c>
      <c r="AV139" s="5"/>
      <c r="AW139" s="5">
        <f t="shared" si="240"/>
        <v>1.4702381830522473</v>
      </c>
      <c r="AX139" s="5"/>
      <c r="AY139" s="5">
        <f t="shared" si="241"/>
        <v>1.4700713183459269</v>
      </c>
      <c r="AZ139" s="5"/>
      <c r="BA139" s="5">
        <f t="shared" si="211"/>
        <v>1.4741898241725524</v>
      </c>
      <c r="BB139" s="5"/>
      <c r="BC139" s="5">
        <f t="shared" si="212"/>
        <v>1.4692580922148204</v>
      </c>
      <c r="BD139" s="5"/>
      <c r="BE139" s="5">
        <f t="shared" si="213"/>
        <v>1.4735670391898776</v>
      </c>
      <c r="BF139" s="5"/>
      <c r="BG139" s="5">
        <f t="shared" si="214"/>
        <v>1.4641163785576399</v>
      </c>
      <c r="BH139" s="5"/>
      <c r="BI139" s="5">
        <f t="shared" si="215"/>
        <v>1.4633675311635117</v>
      </c>
    </row>
    <row r="140" spans="2:61" x14ac:dyDescent="0.3">
      <c r="B140" s="23"/>
      <c r="C140" s="14">
        <f t="shared" ref="C140:C143" si="242">C139-0.2</f>
        <v>0.79999999999999516</v>
      </c>
      <c r="D140" s="60"/>
      <c r="E140" s="31">
        <f t="shared" si="220"/>
        <v>0.79999999999999516</v>
      </c>
      <c r="F140" s="5"/>
      <c r="G140" s="5">
        <f t="shared" si="221"/>
        <v>0.30600696306685238</v>
      </c>
      <c r="H140" s="5"/>
      <c r="I140" s="5">
        <f t="shared" si="222"/>
        <v>0.524545759587284</v>
      </c>
      <c r="J140" s="5"/>
      <c r="K140" s="5">
        <f t="shared" si="216"/>
        <v>0.56859267500512944</v>
      </c>
      <c r="L140" s="5"/>
      <c r="M140" s="5">
        <f t="shared" si="217"/>
        <v>0.70238655408068906</v>
      </c>
      <c r="N140" s="5"/>
      <c r="O140" s="5">
        <f t="shared" si="223"/>
        <v>0.90622548357765276</v>
      </c>
      <c r="P140" s="5"/>
      <c r="Q140" s="5">
        <f t="shared" si="224"/>
        <v>0.96186783417447075</v>
      </c>
      <c r="R140" s="5"/>
      <c r="S140" s="5">
        <f t="shared" si="225"/>
        <v>1.0444369313438211</v>
      </c>
      <c r="T140" s="5"/>
      <c r="U140" s="5">
        <f t="shared" si="226"/>
        <v>1.0543589588621567</v>
      </c>
      <c r="V140" s="5"/>
      <c r="W140" s="5">
        <f t="shared" si="227"/>
        <v>1.1020389266841266</v>
      </c>
      <c r="X140" s="5"/>
      <c r="Y140" s="5">
        <f t="shared" si="228"/>
        <v>1.1132018219412914</v>
      </c>
      <c r="Z140" s="5"/>
      <c r="AA140" s="5">
        <f t="shared" si="229"/>
        <v>1.1295800237379505</v>
      </c>
      <c r="AB140" s="5"/>
      <c r="AC140" s="5">
        <f t="shared" si="230"/>
        <v>1.1385043723228416</v>
      </c>
      <c r="AD140" s="5"/>
      <c r="AE140" s="5">
        <f t="shared" si="231"/>
        <v>1.1787924425402028</v>
      </c>
      <c r="AF140" s="5"/>
      <c r="AG140" s="5">
        <f t="shared" si="232"/>
        <v>1.2276414944078109</v>
      </c>
      <c r="AH140" s="5"/>
      <c r="AI140" s="5">
        <f t="shared" si="233"/>
        <v>1.2730575354009404</v>
      </c>
      <c r="AJ140" s="5"/>
      <c r="AK140" s="5">
        <f t="shared" si="234"/>
        <v>1.282752195518801</v>
      </c>
      <c r="AL140" s="5"/>
      <c r="AM140" s="5">
        <f t="shared" si="235"/>
        <v>1.2945556379107921</v>
      </c>
      <c r="AN140" s="5"/>
      <c r="AO140" s="5">
        <f t="shared" si="236"/>
        <v>1.3048393287533033</v>
      </c>
      <c r="AP140" s="5"/>
      <c r="AQ140" s="5">
        <f t="shared" si="237"/>
        <v>1.3064473267483663</v>
      </c>
      <c r="AR140" s="5"/>
      <c r="AS140" s="5">
        <f t="shared" si="238"/>
        <v>1.2980976542608202</v>
      </c>
      <c r="AT140" s="5"/>
      <c r="AU140" s="5">
        <f t="shared" si="239"/>
        <v>1.3207882742840411</v>
      </c>
      <c r="AV140" s="5"/>
      <c r="AW140" s="5">
        <f t="shared" si="240"/>
        <v>1.3201103923706634</v>
      </c>
      <c r="AX140" s="5"/>
      <c r="AY140" s="5">
        <f t="shared" si="241"/>
        <v>1.3282860823282872</v>
      </c>
      <c r="AZ140" s="5"/>
      <c r="BA140" s="5">
        <f t="shared" si="211"/>
        <v>1.3227543997978319</v>
      </c>
      <c r="BB140" s="5"/>
      <c r="BC140" s="5">
        <f t="shared" si="212"/>
        <v>1.3261328787571844</v>
      </c>
      <c r="BD140" s="5"/>
      <c r="BE140" s="5">
        <f t="shared" si="213"/>
        <v>1.3219315483149361</v>
      </c>
      <c r="BF140" s="5"/>
      <c r="BG140" s="5">
        <f t="shared" si="214"/>
        <v>1.3206068474057051</v>
      </c>
      <c r="BH140" s="5"/>
      <c r="BI140" s="5">
        <f t="shared" si="215"/>
        <v>1.3123948271669155</v>
      </c>
    </row>
    <row r="141" spans="2:61" x14ac:dyDescent="0.3">
      <c r="B141" s="23"/>
      <c r="C141" s="14">
        <f t="shared" si="242"/>
        <v>0.5999999999999952</v>
      </c>
      <c r="D141" s="60"/>
      <c r="E141" s="31">
        <f t="shared" si="220"/>
        <v>0.5999999999999952</v>
      </c>
      <c r="F141" s="5"/>
      <c r="G141" s="5">
        <f t="shared" si="221"/>
        <v>0.30600696306685238</v>
      </c>
      <c r="H141" s="5"/>
      <c r="I141" s="5">
        <f t="shared" si="222"/>
        <v>0.524545759587284</v>
      </c>
      <c r="J141" s="5"/>
      <c r="K141" s="5">
        <f t="shared" si="216"/>
        <v>0.49825721645023391</v>
      </c>
      <c r="L141" s="5"/>
      <c r="M141" s="5">
        <f t="shared" si="217"/>
        <v>0.64057023513913092</v>
      </c>
      <c r="N141" s="5"/>
      <c r="O141" s="5">
        <f t="shared" si="223"/>
        <v>0.76812295201312897</v>
      </c>
      <c r="P141" s="5"/>
      <c r="Q141" s="5">
        <f t="shared" si="224"/>
        <v>0.85235486944104921</v>
      </c>
      <c r="R141" s="5"/>
      <c r="S141" s="5">
        <f t="shared" si="225"/>
        <v>0.88865675537206135</v>
      </c>
      <c r="T141" s="5"/>
      <c r="U141" s="5">
        <f t="shared" si="226"/>
        <v>0.91928688639410305</v>
      </c>
      <c r="V141" s="5"/>
      <c r="W141" s="5">
        <f t="shared" si="227"/>
        <v>0.93297586681049494</v>
      </c>
      <c r="X141" s="5"/>
      <c r="Y141" s="5">
        <f t="shared" si="228"/>
        <v>0.9646665369770614</v>
      </c>
      <c r="Z141" s="5"/>
      <c r="AA141" s="5">
        <f t="shared" si="229"/>
        <v>0.95501963416336122</v>
      </c>
      <c r="AB141" s="5"/>
      <c r="AC141" s="5">
        <f t="shared" si="230"/>
        <v>0.98136831094637422</v>
      </c>
      <c r="AD141" s="5"/>
      <c r="AE141" s="5">
        <f t="shared" si="231"/>
        <v>1.0038398659078904</v>
      </c>
      <c r="AF141" s="5"/>
      <c r="AG141" s="5">
        <f t="shared" si="232"/>
        <v>1.0662745292463325</v>
      </c>
      <c r="AH141" s="5"/>
      <c r="AI141" s="5">
        <f t="shared" si="233"/>
        <v>1.0951903925100848</v>
      </c>
      <c r="AJ141" s="5"/>
      <c r="AK141" s="5">
        <f t="shared" si="234"/>
        <v>1.1124026344579894</v>
      </c>
      <c r="AL141" s="5"/>
      <c r="AM141" s="5">
        <f t="shared" si="235"/>
        <v>1.1107096532622436</v>
      </c>
      <c r="AN141" s="5"/>
      <c r="AO141" s="5">
        <f t="shared" si="236"/>
        <v>1.1304576638834558</v>
      </c>
      <c r="AP141" s="5"/>
      <c r="AQ141" s="5">
        <f t="shared" si="237"/>
        <v>1.1224773953806548</v>
      </c>
      <c r="AR141" s="5"/>
      <c r="AS141" s="5">
        <f t="shared" si="238"/>
        <v>1.1220148388272402</v>
      </c>
      <c r="AT141" s="5"/>
      <c r="AU141" s="5">
        <f t="shared" si="239"/>
        <v>1.1385511524274845</v>
      </c>
      <c r="AV141" s="5"/>
      <c r="AW141" s="5">
        <f t="shared" si="240"/>
        <v>1.146221411950908</v>
      </c>
      <c r="AX141" s="5"/>
      <c r="AY141" s="5">
        <f t="shared" si="241"/>
        <v>1.1464100412059135</v>
      </c>
      <c r="AZ141" s="5"/>
      <c r="BA141" s="5">
        <f t="shared" si="211"/>
        <v>1.1494377444193606</v>
      </c>
      <c r="BB141" s="5"/>
      <c r="BC141" s="5">
        <f t="shared" si="212"/>
        <v>1.1463556560218073</v>
      </c>
      <c r="BD141" s="5"/>
      <c r="BE141" s="5">
        <f t="shared" si="213"/>
        <v>1.1504488794511432</v>
      </c>
      <c r="BF141" s="5"/>
      <c r="BG141" s="5">
        <f t="shared" si="214"/>
        <v>1.143837287656112</v>
      </c>
      <c r="BH141" s="5"/>
      <c r="BI141" s="5">
        <f t="shared" si="215"/>
        <v>1.1431292835066322</v>
      </c>
    </row>
    <row r="142" spans="2:61" x14ac:dyDescent="0.3">
      <c r="B142" s="23"/>
      <c r="C142" s="14">
        <f t="shared" si="242"/>
        <v>0.39999999999999519</v>
      </c>
      <c r="D142" s="60"/>
      <c r="E142" s="31">
        <f t="shared" si="220"/>
        <v>0.39999999999999519</v>
      </c>
      <c r="F142" s="5"/>
      <c r="G142" s="5">
        <f t="shared" si="221"/>
        <v>0.30600696306685238</v>
      </c>
      <c r="H142" s="5"/>
      <c r="I142" s="5">
        <f t="shared" si="222"/>
        <v>0.35336210713373911</v>
      </c>
      <c r="J142" s="5"/>
      <c r="K142" s="5">
        <f t="shared" si="216"/>
        <v>0.39666155409316228</v>
      </c>
      <c r="L142" s="5"/>
      <c r="M142" s="5">
        <f t="shared" si="217"/>
        <v>0.45131719714882318</v>
      </c>
      <c r="N142" s="5"/>
      <c r="O142" s="5">
        <f t="shared" si="223"/>
        <v>0.59153282968472198</v>
      </c>
      <c r="P142" s="5"/>
      <c r="Q142" s="5">
        <f t="shared" si="224"/>
        <v>0.63100505743344459</v>
      </c>
      <c r="R142" s="5"/>
      <c r="S142" s="5">
        <f t="shared" si="225"/>
        <v>0.68841030652539426</v>
      </c>
      <c r="T142" s="5"/>
      <c r="U142" s="5">
        <f t="shared" si="226"/>
        <v>0.6900485615082762</v>
      </c>
      <c r="V142" s="5"/>
      <c r="W142" s="5">
        <f t="shared" si="227"/>
        <v>0.72710684719924412</v>
      </c>
      <c r="X142" s="5"/>
      <c r="Y142" s="5">
        <f t="shared" si="228"/>
        <v>0.73854222770364275</v>
      </c>
      <c r="Z142" s="5"/>
      <c r="AA142" s="5">
        <f t="shared" si="229"/>
        <v>0.74644814868685261</v>
      </c>
      <c r="AB142" s="5"/>
      <c r="AC142" s="5">
        <f t="shared" si="230"/>
        <v>0.76335272150328981</v>
      </c>
      <c r="AD142" s="5"/>
      <c r="AE142" s="5">
        <f t="shared" si="231"/>
        <v>0.797313770007959</v>
      </c>
      <c r="AF142" s="5"/>
      <c r="AG142" s="5">
        <f t="shared" si="232"/>
        <v>0.84730723881274039</v>
      </c>
      <c r="AH142" s="5"/>
      <c r="AI142" s="5">
        <f t="shared" si="233"/>
        <v>0.87788100819569448</v>
      </c>
      <c r="AJ142" s="5"/>
      <c r="AK142" s="5">
        <f t="shared" si="234"/>
        <v>0.88623832941265213</v>
      </c>
      <c r="AL142" s="5"/>
      <c r="AM142" s="5">
        <f t="shared" si="235"/>
        <v>0.89370309022866978</v>
      </c>
      <c r="AN142" s="5"/>
      <c r="AO142" s="5">
        <f t="shared" si="236"/>
        <v>0.90980566546978026</v>
      </c>
      <c r="AP142" s="5"/>
      <c r="AQ142" s="5">
        <f t="shared" si="237"/>
        <v>0.9079037461444821</v>
      </c>
      <c r="AR142" s="5"/>
      <c r="AS142" s="5">
        <f t="shared" si="238"/>
        <v>0.90767389826493805</v>
      </c>
      <c r="AT142" s="5"/>
      <c r="AU142" s="5">
        <f t="shared" si="239"/>
        <v>0.93228387798464085</v>
      </c>
      <c r="AV142" s="5"/>
      <c r="AW142" s="5">
        <f t="shared" si="240"/>
        <v>0.9337378829472831</v>
      </c>
      <c r="AX142" s="5"/>
      <c r="AY142" s="5">
        <f t="shared" si="241"/>
        <v>0.94258047329257244</v>
      </c>
      <c r="AZ142" s="5"/>
      <c r="BA142" s="5">
        <f t="shared" si="211"/>
        <v>0.94231124468477567</v>
      </c>
      <c r="BB142" s="5"/>
      <c r="BC142" s="5">
        <f t="shared" si="212"/>
        <v>0.94740717380903083</v>
      </c>
      <c r="BD142" s="5"/>
      <c r="BE142" s="5">
        <f t="shared" si="213"/>
        <v>0.94941289810782314</v>
      </c>
      <c r="BF142" s="5"/>
      <c r="BG142" s="5">
        <f t="shared" si="214"/>
        <v>0.9496016834316714</v>
      </c>
      <c r="BH142" s="5"/>
      <c r="BI142" s="5">
        <f t="shared" si="215"/>
        <v>0.94841974860467593</v>
      </c>
    </row>
    <row r="143" spans="2:61" x14ac:dyDescent="0.3">
      <c r="B143" s="23"/>
      <c r="C143" s="14">
        <f t="shared" si="242"/>
        <v>0.19999999999999518</v>
      </c>
      <c r="D143" s="60"/>
      <c r="E143" s="31">
        <f t="shared" si="220"/>
        <v>0.19999999999999518</v>
      </c>
      <c r="F143" s="5"/>
      <c r="G143" s="5">
        <f t="shared" si="221"/>
        <v>2.4665128847269662E-2</v>
      </c>
      <c r="H143" s="5"/>
      <c r="I143" s="5">
        <f t="shared" si="222"/>
        <v>0.10609683136750779</v>
      </c>
      <c r="J143" s="5"/>
      <c r="K143" s="5">
        <f t="shared" si="216"/>
        <v>0.15595798481640827</v>
      </c>
      <c r="L143" s="5"/>
      <c r="M143" s="5">
        <f t="shared" si="217"/>
        <v>0.21641518517090336</v>
      </c>
      <c r="N143" s="5"/>
      <c r="O143" s="5">
        <f t="shared" si="223"/>
        <v>0.29834794710102036</v>
      </c>
      <c r="P143" s="5"/>
      <c r="Q143" s="5">
        <f t="shared" si="224"/>
        <v>0.34807235809563986</v>
      </c>
      <c r="R143" s="5"/>
      <c r="S143" s="5">
        <f t="shared" si="225"/>
        <v>0.39315425463600773</v>
      </c>
      <c r="T143" s="5"/>
      <c r="U143" s="5">
        <f t="shared" si="226"/>
        <v>0.41892508754702418</v>
      </c>
      <c r="V143" s="5"/>
      <c r="W143" s="5">
        <f t="shared" si="227"/>
        <v>0.44907676544680875</v>
      </c>
      <c r="X143" s="5"/>
      <c r="Y143" s="5">
        <f t="shared" si="228"/>
        <v>0.47402892382428435</v>
      </c>
      <c r="Z143" s="5"/>
      <c r="AA143" s="5">
        <f t="shared" si="229"/>
        <v>0.48871268799891032</v>
      </c>
      <c r="AB143" s="5"/>
      <c r="AC143" s="5">
        <f t="shared" si="230"/>
        <v>0.51056007046997054</v>
      </c>
      <c r="AD143" s="5"/>
      <c r="AE143" s="5">
        <f t="shared" si="231"/>
        <v>0.53728314475276184</v>
      </c>
      <c r="AF143" s="5"/>
      <c r="AG143" s="5">
        <f t="shared" si="232"/>
        <v>0.57668735399850923</v>
      </c>
      <c r="AH143" s="5"/>
      <c r="AI143" s="5">
        <f t="shared" si="233"/>
        <v>0.60589843356422657</v>
      </c>
      <c r="AJ143" s="5"/>
      <c r="AK143" s="5">
        <f t="shared" si="234"/>
        <v>0.62474073084952719</v>
      </c>
      <c r="AL143" s="5"/>
      <c r="AM143" s="5">
        <f t="shared" si="235"/>
        <v>0.63826167745949169</v>
      </c>
      <c r="AN143" s="5"/>
      <c r="AO143" s="5">
        <f t="shared" si="236"/>
        <v>0.65684447768096343</v>
      </c>
      <c r="AP143" s="5"/>
      <c r="AQ143" s="5">
        <f t="shared" si="237"/>
        <v>0.66485761573526836</v>
      </c>
      <c r="AR143" s="5"/>
      <c r="AS143" s="5">
        <f t="shared" si="238"/>
        <v>0.67270953243685627</v>
      </c>
      <c r="AT143" s="5"/>
      <c r="AU143" s="5">
        <f t="shared" si="239"/>
        <v>0.69098061916066156</v>
      </c>
      <c r="AV143" s="5"/>
      <c r="AW143" s="5">
        <f t="shared" si="240"/>
        <v>0.70124618696891861</v>
      </c>
      <c r="AX143" s="5"/>
      <c r="AY143" s="5">
        <f t="shared" si="241"/>
        <v>0.71142070756558751</v>
      </c>
      <c r="AZ143" s="5"/>
      <c r="BA143" s="5">
        <f t="shared" si="211"/>
        <v>0.71882929846374943</v>
      </c>
      <c r="BB143" s="5"/>
      <c r="BC143" s="5">
        <f t="shared" si="212"/>
        <v>0.72615774145158085</v>
      </c>
      <c r="BD143" s="5"/>
      <c r="BE143" s="5">
        <f t="shared" si="213"/>
        <v>0.73337773530379669</v>
      </c>
      <c r="BF143" s="5"/>
      <c r="BG143" s="5">
        <f t="shared" si="214"/>
        <v>0.73785626959327044</v>
      </c>
      <c r="BH143" s="5"/>
      <c r="BI143" s="5">
        <f t="shared" si="215"/>
        <v>0.74221863423510837</v>
      </c>
    </row>
    <row r="144" spans="2:61" x14ac:dyDescent="0.3">
      <c r="B144" s="34" t="s">
        <v>37</v>
      </c>
      <c r="C144" s="14">
        <v>0.2</v>
      </c>
      <c r="D144" s="35" t="s">
        <v>37</v>
      </c>
      <c r="E144" s="54">
        <v>-0.2</v>
      </c>
      <c r="F144" s="55"/>
      <c r="G144" s="55">
        <v>0</v>
      </c>
      <c r="H144" s="55"/>
      <c r="I144" s="5">
        <f t="shared" si="222"/>
        <v>-0.14116844439872347</v>
      </c>
      <c r="J144" s="55"/>
      <c r="K144" s="5">
        <f t="shared" si="216"/>
        <v>-8.4745584460345816E-2</v>
      </c>
      <c r="L144" s="5"/>
      <c r="M144" s="5">
        <f t="shared" si="217"/>
        <v>-1.8486826807016337E-2</v>
      </c>
      <c r="N144" s="55"/>
      <c r="O144" s="5">
        <f t="shared" si="223"/>
        <v>5.1630645173189743E-3</v>
      </c>
      <c r="P144" s="55"/>
      <c r="Q144" s="5">
        <f t="shared" si="224"/>
        <v>6.513965875783527E-2</v>
      </c>
      <c r="R144" s="55"/>
      <c r="S144" s="5">
        <f t="shared" si="225"/>
        <v>9.7898202746621407E-2</v>
      </c>
      <c r="T144" s="55"/>
      <c r="U144" s="5">
        <f t="shared" si="226"/>
        <v>0.14780161358577201</v>
      </c>
      <c r="V144" s="55"/>
      <c r="W144" s="5">
        <f t="shared" si="227"/>
        <v>0.17104668369437359</v>
      </c>
      <c r="X144" s="55"/>
      <c r="Y144" s="5">
        <f t="shared" si="228"/>
        <v>0.2095156199449256</v>
      </c>
      <c r="Z144" s="55"/>
      <c r="AA144" s="5">
        <f t="shared" si="229"/>
        <v>0.23097722731096823</v>
      </c>
      <c r="AB144" s="55"/>
      <c r="AC144" s="5">
        <f t="shared" si="230"/>
        <v>0.25776741943665121</v>
      </c>
      <c r="AD144" s="55"/>
      <c r="AE144" s="5">
        <f t="shared" si="231"/>
        <v>0.27725251949756502</v>
      </c>
      <c r="AF144" s="55"/>
      <c r="AG144" s="5">
        <f t="shared" si="232"/>
        <v>0.30606746918427802</v>
      </c>
      <c r="AH144" s="55"/>
      <c r="AI144" s="5">
        <f t="shared" si="233"/>
        <v>0.33391585893275905</v>
      </c>
      <c r="AJ144" s="55"/>
      <c r="AK144" s="5">
        <f t="shared" si="234"/>
        <v>0.36324313228640231</v>
      </c>
      <c r="AL144" s="55"/>
      <c r="AM144" s="5">
        <f t="shared" si="235"/>
        <v>0.38282026469031333</v>
      </c>
      <c r="AN144" s="55"/>
      <c r="AO144" s="5">
        <f t="shared" si="236"/>
        <v>0.40388328989214645</v>
      </c>
      <c r="AP144" s="55"/>
      <c r="AQ144" s="5">
        <f t="shared" si="237"/>
        <v>0.42180788755994092</v>
      </c>
      <c r="AR144" s="55"/>
      <c r="AS144" s="5">
        <f t="shared" si="238"/>
        <v>0.43774436398627448</v>
      </c>
      <c r="AT144" s="55"/>
      <c r="AU144" s="5">
        <f t="shared" si="239"/>
        <v>0.44966282057836632</v>
      </c>
      <c r="AV144" s="55"/>
      <c r="AW144" s="5">
        <f t="shared" si="240"/>
        <v>0.46875071246781352</v>
      </c>
      <c r="AX144" s="55"/>
      <c r="AY144" s="5">
        <f t="shared" si="241"/>
        <v>0.48022678254349666</v>
      </c>
      <c r="AZ144" s="55"/>
      <c r="BA144" s="5">
        <f t="shared" si="211"/>
        <v>0.49533682674526835</v>
      </c>
      <c r="BB144" s="55"/>
      <c r="BC144" s="5">
        <f t="shared" si="212"/>
        <v>0.50484710904270869</v>
      </c>
      <c r="BD144" s="55"/>
      <c r="BE144" s="5">
        <f t="shared" si="213"/>
        <v>0.51732009630150033</v>
      </c>
      <c r="BF144" s="55"/>
      <c r="BG144" s="5">
        <f t="shared" si="214"/>
        <v>0.52601816801178203</v>
      </c>
      <c r="BH144" s="55"/>
      <c r="BI144" s="5">
        <f t="shared" si="215"/>
        <v>0.5359767905016114</v>
      </c>
    </row>
    <row r="145" spans="2:61" x14ac:dyDescent="0.3">
      <c r="B145" s="34"/>
      <c r="C145" s="14">
        <f>C144+0.2</f>
        <v>0.4</v>
      </c>
      <c r="D145" s="35" t="s">
        <v>37</v>
      </c>
      <c r="E145" s="36">
        <f>E144-0.2</f>
        <v>-0.4</v>
      </c>
      <c r="F145" s="5"/>
      <c r="G145" s="5"/>
      <c r="H145" s="5"/>
      <c r="I145" s="5">
        <f t="shared" si="222"/>
        <v>-0.31235209685226822</v>
      </c>
      <c r="J145" s="5"/>
      <c r="K145" s="5">
        <f t="shared" si="216"/>
        <v>-0.18634124681741734</v>
      </c>
      <c r="L145" s="5"/>
      <c r="M145" s="5">
        <f t="shared" si="217"/>
        <v>-0.2077398647973242</v>
      </c>
      <c r="N145" s="5"/>
      <c r="O145" s="5">
        <f t="shared" si="223"/>
        <v>-0.17142705781108808</v>
      </c>
      <c r="P145" s="5"/>
      <c r="Q145" s="5">
        <f t="shared" si="224"/>
        <v>-0.1562101532497695</v>
      </c>
      <c r="R145" s="5"/>
      <c r="S145" s="5">
        <f t="shared" si="225"/>
        <v>-0.1023482461000457</v>
      </c>
      <c r="T145" s="5"/>
      <c r="U145" s="5">
        <f t="shared" si="226"/>
        <v>-8.1436711300054684E-2</v>
      </c>
      <c r="V145" s="5"/>
      <c r="W145" s="5">
        <f t="shared" si="227"/>
        <v>-3.4822335916877611E-2</v>
      </c>
      <c r="X145" s="5"/>
      <c r="Y145" s="5">
        <f t="shared" si="228"/>
        <v>-1.6608689328493072E-2</v>
      </c>
      <c r="Z145" s="5"/>
      <c r="AA145" s="5">
        <f t="shared" si="229"/>
        <v>2.2405741834459064E-2</v>
      </c>
      <c r="AB145" s="5"/>
      <c r="AC145" s="5">
        <f t="shared" si="230"/>
        <v>3.9751829993567203E-2</v>
      </c>
      <c r="AD145" s="5"/>
      <c r="AE145" s="5">
        <f t="shared" si="231"/>
        <v>7.0726423597633398E-2</v>
      </c>
      <c r="AF145" s="5"/>
      <c r="AG145" s="5">
        <f t="shared" si="232"/>
        <v>8.7100178750686222E-2</v>
      </c>
      <c r="AH145" s="5"/>
      <c r="AI145" s="5">
        <f t="shared" si="233"/>
        <v>0.11660647461836834</v>
      </c>
      <c r="AJ145" s="5"/>
      <c r="AK145" s="5">
        <f t="shared" si="234"/>
        <v>0.13707882724106507</v>
      </c>
      <c r="AL145" s="5"/>
      <c r="AM145" s="5">
        <f t="shared" si="235"/>
        <v>0.16581370165673967</v>
      </c>
      <c r="AN145" s="5"/>
      <c r="AO145" s="5">
        <f t="shared" si="236"/>
        <v>0.18322412620146841</v>
      </c>
      <c r="AP145" s="5"/>
      <c r="AQ145" s="5">
        <f t="shared" si="237"/>
        <v>0.20722904155049277</v>
      </c>
      <c r="AR145" s="5"/>
      <c r="AS145" s="5">
        <f t="shared" si="238"/>
        <v>0.22337364612922678</v>
      </c>
      <c r="AT145" s="5"/>
      <c r="AU145" s="5">
        <f t="shared" si="239"/>
        <v>0.24337347470184595</v>
      </c>
      <c r="AV145" s="5"/>
      <c r="AW145" s="5">
        <f t="shared" si="240"/>
        <v>0.25619530060510259</v>
      </c>
      <c r="AX145" s="5"/>
      <c r="AY145" s="5">
        <f t="shared" si="241"/>
        <v>0.27634206619392476</v>
      </c>
      <c r="AZ145" s="5"/>
      <c r="BA145" s="5">
        <f t="shared" si="211"/>
        <v>0.28807773928610336</v>
      </c>
      <c r="BB145" s="5"/>
      <c r="BC145" s="5">
        <f t="shared" si="212"/>
        <v>0.30579259124931252</v>
      </c>
      <c r="BD145" s="5"/>
      <c r="BE145" s="5">
        <f t="shared" si="213"/>
        <v>0.31607671821783562</v>
      </c>
      <c r="BF145" s="5"/>
      <c r="BG145" s="5">
        <f t="shared" si="214"/>
        <v>0.33160860643535106</v>
      </c>
      <c r="BH145" s="5"/>
      <c r="BI145" s="5">
        <f t="shared" si="215"/>
        <v>0.34097725526362704</v>
      </c>
    </row>
    <row r="146" spans="2:61" x14ac:dyDescent="0.3">
      <c r="B146" s="34"/>
      <c r="C146" s="14">
        <f t="shared" ref="C146:C183" si="243">C145+0.2</f>
        <v>0.60000000000000009</v>
      </c>
      <c r="D146" s="35" t="s">
        <v>37</v>
      </c>
      <c r="E146" s="36">
        <f t="shared" ref="E146:E183" si="244">E145-0.2</f>
        <v>-0.60000000000000009</v>
      </c>
      <c r="F146" s="5"/>
      <c r="G146" s="5"/>
      <c r="H146" s="5"/>
      <c r="I146" s="5"/>
      <c r="J146" s="5"/>
      <c r="K146" s="5">
        <f t="shared" si="216"/>
        <v>-0.25667670537231302</v>
      </c>
      <c r="L146" s="5"/>
      <c r="M146" s="5">
        <f t="shared" si="217"/>
        <v>-0.26955618373888202</v>
      </c>
      <c r="N146" s="5"/>
      <c r="O146" s="5">
        <f t="shared" si="223"/>
        <v>-0.30952958937561154</v>
      </c>
      <c r="P146" s="5"/>
      <c r="Q146" s="5">
        <f t="shared" si="224"/>
        <v>-0.26572311798319082</v>
      </c>
      <c r="R146" s="5"/>
      <c r="S146" s="5">
        <f t="shared" si="225"/>
        <v>-0.25812842207180536</v>
      </c>
      <c r="T146" s="5"/>
      <c r="U146" s="5">
        <f t="shared" si="226"/>
        <v>-0.2165087837681082</v>
      </c>
      <c r="V146" s="5"/>
      <c r="W146" s="5">
        <f t="shared" si="227"/>
        <v>-0.20388539579050891</v>
      </c>
      <c r="X146" s="5"/>
      <c r="Y146" s="5">
        <f t="shared" si="228"/>
        <v>-0.16514397429272326</v>
      </c>
      <c r="Z146" s="5"/>
      <c r="AA146" s="5">
        <f t="shared" si="229"/>
        <v>-0.15215464774012993</v>
      </c>
      <c r="AB146" s="5"/>
      <c r="AC146" s="5">
        <f t="shared" si="230"/>
        <v>-0.11738423138290038</v>
      </c>
      <c r="AD146" s="5"/>
      <c r="AE146" s="5">
        <f t="shared" si="231"/>
        <v>-0.10422615303467883</v>
      </c>
      <c r="AF146" s="5"/>
      <c r="AG146" s="5">
        <f t="shared" si="232"/>
        <v>-7.4266786410792512E-2</v>
      </c>
      <c r="AH146" s="5"/>
      <c r="AI146" s="5">
        <f t="shared" si="233"/>
        <v>-6.1260668272486732E-2</v>
      </c>
      <c r="AJ146" s="5"/>
      <c r="AK146" s="5">
        <f t="shared" si="234"/>
        <v>-3.3270733819746476E-2</v>
      </c>
      <c r="AL146" s="5"/>
      <c r="AM146" s="5">
        <f t="shared" si="235"/>
        <v>-1.8046548060373053E-2</v>
      </c>
      <c r="AN146" s="5"/>
      <c r="AO146" s="5">
        <f t="shared" si="236"/>
        <v>8.8321114870617487E-3</v>
      </c>
      <c r="AP146" s="5"/>
      <c r="AQ146" s="5">
        <f t="shared" si="237"/>
        <v>2.320338478319731E-2</v>
      </c>
      <c r="AR146" s="5"/>
      <c r="AS146" s="5">
        <f t="shared" si="238"/>
        <v>4.7247649605152056E-2</v>
      </c>
      <c r="AT146" s="5"/>
      <c r="AU146" s="5">
        <f t="shared" si="239"/>
        <v>6.1007609528233211E-2</v>
      </c>
      <c r="AV146" s="5"/>
      <c r="AW146" s="5">
        <f t="shared" si="240"/>
        <v>8.2200147737542306E-2</v>
      </c>
      <c r="AX146" s="5"/>
      <c r="AY146" s="5">
        <f t="shared" si="241"/>
        <v>9.4235788078059129E-2</v>
      </c>
      <c r="AZ146" s="5"/>
      <c r="BA146" s="5">
        <f t="shared" si="211"/>
        <v>0.11456012364936849</v>
      </c>
      <c r="BB146" s="5"/>
      <c r="BC146" s="5">
        <f t="shared" si="212"/>
        <v>0.12566285346569342</v>
      </c>
      <c r="BD146" s="5"/>
      <c r="BE146" s="5">
        <f t="shared" si="213"/>
        <v>0.14426946469230614</v>
      </c>
      <c r="BF146" s="5"/>
      <c r="BG146" s="5">
        <f t="shared" si="214"/>
        <v>0.15435308031748324</v>
      </c>
      <c r="BH146" s="5"/>
      <c r="BI146" s="5">
        <f t="shared" si="215"/>
        <v>0.17124024084957512</v>
      </c>
    </row>
    <row r="147" spans="2:61" x14ac:dyDescent="0.3">
      <c r="B147" s="34"/>
      <c r="C147" s="14">
        <f t="shared" si="243"/>
        <v>0.8</v>
      </c>
      <c r="D147" s="35" t="s">
        <v>37</v>
      </c>
      <c r="E147" s="36">
        <f t="shared" si="244"/>
        <v>-0.8</v>
      </c>
      <c r="F147" s="5"/>
      <c r="G147" s="5"/>
      <c r="H147" s="5"/>
      <c r="I147" s="5"/>
      <c r="J147" s="5"/>
      <c r="K147" s="5"/>
      <c r="L147" s="5"/>
      <c r="M147" s="5">
        <f t="shared" si="217"/>
        <v>-0.31235209685226822</v>
      </c>
      <c r="N147" s="5"/>
      <c r="O147" s="5">
        <f t="shared" si="223"/>
        <v>-0.34631919819402968</v>
      </c>
      <c r="P147" s="5"/>
      <c r="Q147" s="5">
        <f t="shared" si="224"/>
        <v>-0.34967337476822735</v>
      </c>
      <c r="R147" s="5"/>
      <c r="S147" s="5">
        <f t="shared" si="225"/>
        <v>-0.32364206410750246</v>
      </c>
      <c r="T147" s="5"/>
      <c r="U147" s="5">
        <f t="shared" si="226"/>
        <v>-0.32084499144700074</v>
      </c>
      <c r="V147" s="5"/>
      <c r="W147" s="5">
        <f t="shared" si="227"/>
        <v>-0.29170044495702924</v>
      </c>
      <c r="X147" s="5"/>
      <c r="Y147" s="5">
        <f t="shared" si="228"/>
        <v>-0.28471372006736106</v>
      </c>
      <c r="Z147" s="5"/>
      <c r="AA147" s="5">
        <f t="shared" si="229"/>
        <v>-0.25516302420454512</v>
      </c>
      <c r="AB147" s="5"/>
      <c r="AC147" s="5">
        <f t="shared" si="230"/>
        <v>-0.24662783046584208</v>
      </c>
      <c r="AD147" s="5"/>
      <c r="AE147" s="5">
        <f t="shared" si="231"/>
        <v>-0.21825898192126897</v>
      </c>
      <c r="AF147" s="5"/>
      <c r="AG147" s="5">
        <f t="shared" si="232"/>
        <v>-0.20887956346493403</v>
      </c>
      <c r="AH147" s="5"/>
      <c r="AI147" s="5">
        <f t="shared" si="233"/>
        <v>-0.18278327562847058</v>
      </c>
      <c r="AJ147" s="5"/>
      <c r="AK147" s="5">
        <f t="shared" si="234"/>
        <v>-0.1729917987749407</v>
      </c>
      <c r="AL147" s="5"/>
      <c r="AM147" s="5">
        <f t="shared" si="235"/>
        <v>-0.14823019778300317</v>
      </c>
      <c r="AN147" s="5"/>
      <c r="AO147" s="5">
        <f t="shared" si="236"/>
        <v>-0.13701248427858592</v>
      </c>
      <c r="AP147" s="5"/>
      <c r="AQ147" s="5">
        <f t="shared" si="237"/>
        <v>-0.11310094259898235</v>
      </c>
      <c r="AR147" s="5"/>
      <c r="AS147" s="5">
        <f t="shared" si="238"/>
        <v>-0.10179834534615888</v>
      </c>
      <c r="AT147" s="5"/>
      <c r="AU147" s="5">
        <f t="shared" si="239"/>
        <v>-7.9525095356824102E-2</v>
      </c>
      <c r="AV147" s="5"/>
      <c r="AW147" s="5">
        <f t="shared" si="240"/>
        <v>-6.8314789979906532E-2</v>
      </c>
      <c r="AX147" s="5"/>
      <c r="AY147" s="5">
        <f t="shared" si="241"/>
        <v>-4.7895039063584416E-2</v>
      </c>
      <c r="AZ147" s="5"/>
      <c r="BA147" s="5">
        <f t="shared" si="211"/>
        <v>-3.7445796917922193E-2</v>
      </c>
      <c r="BB147" s="5"/>
      <c r="BC147" s="5">
        <f t="shared" si="212"/>
        <v>-1.8003806022927629E-2</v>
      </c>
      <c r="BD147" s="5"/>
      <c r="BE147" s="5">
        <f t="shared" si="213"/>
        <v>-8.1281768846839589E-3</v>
      </c>
      <c r="BF147" s="5"/>
      <c r="BG147" s="5">
        <f t="shared" si="214"/>
        <v>1.0076754193620805E-2</v>
      </c>
      <c r="BH147" s="5"/>
      <c r="BI147" s="5">
        <f t="shared" si="215"/>
        <v>1.9317493345509616E-2</v>
      </c>
    </row>
    <row r="148" spans="2:61" x14ac:dyDescent="0.3">
      <c r="B148" s="34"/>
      <c r="C148" s="14">
        <f t="shared" si="243"/>
        <v>1</v>
      </c>
      <c r="D148" s="35" t="s">
        <v>37</v>
      </c>
      <c r="E148" s="36">
        <f t="shared" si="244"/>
        <v>-1</v>
      </c>
      <c r="F148" s="5"/>
      <c r="G148" s="5"/>
      <c r="H148" s="5"/>
      <c r="I148" s="5"/>
      <c r="J148" s="5"/>
      <c r="K148" s="5"/>
      <c r="L148" s="5"/>
      <c r="M148" s="5"/>
      <c r="N148" s="5"/>
      <c r="O148" s="5">
        <f t="shared" si="223"/>
        <v>-0.37178892737601144</v>
      </c>
      <c r="P148" s="5"/>
      <c r="Q148" s="5">
        <f t="shared" si="224"/>
        <v>-0.36855492041192062</v>
      </c>
      <c r="R148" s="5"/>
      <c r="S148" s="5">
        <f t="shared" si="225"/>
        <v>-0.37314784790823291</v>
      </c>
      <c r="T148" s="5"/>
      <c r="U148" s="5">
        <f t="shared" si="226"/>
        <v>-0.35903882342764942</v>
      </c>
      <c r="V148" s="5"/>
      <c r="W148" s="5">
        <f t="shared" si="227"/>
        <v>-0.35905076962213439</v>
      </c>
      <c r="X148" s="5"/>
      <c r="Y148" s="5">
        <f t="shared" si="228"/>
        <v>-0.34017307243570077</v>
      </c>
      <c r="Z148" s="5"/>
      <c r="AA148" s="5">
        <f t="shared" si="229"/>
        <v>-0.33687546217991415</v>
      </c>
      <c r="AB148" s="5"/>
      <c r="AC148" s="5">
        <f t="shared" si="230"/>
        <v>-0.31583280611055087</v>
      </c>
      <c r="AD148" s="5"/>
      <c r="AE148" s="5">
        <f t="shared" si="231"/>
        <v>-0.31071756364979036</v>
      </c>
      <c r="AF148" s="5"/>
      <c r="AG148" s="5">
        <f t="shared" si="232"/>
        <v>-0.28908600535244872</v>
      </c>
      <c r="AH148" s="5"/>
      <c r="AI148" s="5">
        <f t="shared" si="233"/>
        <v>-0.2828268383611775</v>
      </c>
      <c r="AJ148" s="5"/>
      <c r="AK148" s="5">
        <f t="shared" si="234"/>
        <v>-0.26171015979120232</v>
      </c>
      <c r="AL148" s="5"/>
      <c r="AM148" s="5">
        <f t="shared" si="235"/>
        <v>-0.25472622565200376</v>
      </c>
      <c r="AN148" s="5"/>
      <c r="AO148" s="5">
        <f t="shared" si="236"/>
        <v>-0.23408288025892951</v>
      </c>
      <c r="AP148" s="5"/>
      <c r="AQ148" s="5">
        <f t="shared" si="237"/>
        <v>-0.2260089169931716</v>
      </c>
      <c r="AR148" s="5"/>
      <c r="AS148" s="5">
        <f t="shared" si="238"/>
        <v>-0.20572439476156998</v>
      </c>
      <c r="AT148" s="5"/>
      <c r="AU148" s="5">
        <f t="shared" si="239"/>
        <v>-0.19717850376120108</v>
      </c>
      <c r="AV148" s="5"/>
      <c r="AW148" s="5">
        <f t="shared" si="240"/>
        <v>-0.17768981869170392</v>
      </c>
      <c r="AX148" s="5"/>
      <c r="AY148" s="5">
        <f t="shared" si="241"/>
        <v>-0.16890732920355539</v>
      </c>
      <c r="AZ148" s="5"/>
      <c r="BA148" s="5">
        <f t="shared" si="211"/>
        <v>-0.15046833955486064</v>
      </c>
      <c r="BB148" s="5"/>
      <c r="BC148" s="5">
        <f t="shared" si="212"/>
        <v>-0.14187694392993214</v>
      </c>
      <c r="BD148" s="5"/>
      <c r="BE148" s="5">
        <f t="shared" si="213"/>
        <v>-0.12416541656501537</v>
      </c>
      <c r="BF148" s="5"/>
      <c r="BG148" s="5">
        <f t="shared" si="214"/>
        <v>-0.11580779068543684</v>
      </c>
      <c r="BH148" s="5"/>
      <c r="BI148" s="5">
        <f t="shared" si="215"/>
        <v>-9.8921381167269881E-2</v>
      </c>
    </row>
    <row r="149" spans="2:61" x14ac:dyDescent="0.3">
      <c r="B149" s="34"/>
      <c r="C149" s="14">
        <f t="shared" si="243"/>
        <v>1.2</v>
      </c>
      <c r="D149" s="35" t="s">
        <v>37</v>
      </c>
      <c r="E149" s="36">
        <f t="shared" si="244"/>
        <v>-1.2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>
        <f t="shared" si="224"/>
        <v>-0.38162675970370835</v>
      </c>
      <c r="R149" s="5"/>
      <c r="S149" s="5">
        <f t="shared" si="225"/>
        <v>-0.38278220703112958</v>
      </c>
      <c r="T149" s="5"/>
      <c r="U149" s="5">
        <f t="shared" si="226"/>
        <v>-0.38759003116071822</v>
      </c>
      <c r="V149" s="5"/>
      <c r="W149" s="5">
        <f t="shared" si="227"/>
        <v>-0.38088999054528644</v>
      </c>
      <c r="X149" s="5"/>
      <c r="Y149" s="5">
        <f t="shared" si="228"/>
        <v>-0.38242413893358629</v>
      </c>
      <c r="Z149" s="5"/>
      <c r="AA149" s="5">
        <f t="shared" si="229"/>
        <v>-0.37109132672115164</v>
      </c>
      <c r="AB149" s="5"/>
      <c r="AC149" s="5">
        <f t="shared" si="230"/>
        <v>-0.37010803642325263</v>
      </c>
      <c r="AD149" s="5"/>
      <c r="AE149" s="5">
        <f t="shared" si="231"/>
        <v>-0.35601654562477053</v>
      </c>
      <c r="AF149" s="5"/>
      <c r="AG149" s="5">
        <f t="shared" si="232"/>
        <v>-0.35334868718196416</v>
      </c>
      <c r="AH149" s="5"/>
      <c r="AI149" s="5">
        <f t="shared" si="233"/>
        <v>-0.33776854810513746</v>
      </c>
      <c r="AJ149" s="5"/>
      <c r="AK149" s="5">
        <f t="shared" si="234"/>
        <v>-0.33391820197247851</v>
      </c>
      <c r="AL149" s="5"/>
      <c r="AM149" s="5">
        <f t="shared" si="235"/>
        <v>-0.31779621479544434</v>
      </c>
      <c r="AN149" s="5"/>
      <c r="AO149" s="5">
        <f t="shared" si="236"/>
        <v>-0.31310473961152852</v>
      </c>
      <c r="AP149" s="5"/>
      <c r="AQ149" s="5">
        <f t="shared" si="237"/>
        <v>-0.29674899382505171</v>
      </c>
      <c r="AR149" s="5"/>
      <c r="AS149" s="5">
        <f t="shared" si="238"/>
        <v>-0.29113683254553552</v>
      </c>
      <c r="AT149" s="5"/>
      <c r="AU149" s="5">
        <f t="shared" si="239"/>
        <v>-0.27466147997276591</v>
      </c>
      <c r="AV149" s="5"/>
      <c r="AW149" s="5">
        <f t="shared" si="240"/>
        <v>-0.2684404481979209</v>
      </c>
      <c r="AX149" s="5"/>
      <c r="AY149" s="5">
        <f t="shared" si="241"/>
        <v>-0.2521574028642396</v>
      </c>
      <c r="AZ149" s="5"/>
      <c r="BA149" s="5">
        <f t="shared" si="211"/>
        <v>-0.24552481097240561</v>
      </c>
      <c r="BB149" s="5"/>
      <c r="BC149" s="5">
        <f t="shared" si="212"/>
        <v>-0.22968141604804213</v>
      </c>
      <c r="BD149" s="5"/>
      <c r="BE149" s="5">
        <f t="shared" si="213"/>
        <v>-0.22291897904664973</v>
      </c>
      <c r="BF149" s="5"/>
      <c r="BG149" s="5">
        <f t="shared" si="214"/>
        <v>-0.20746019415120645</v>
      </c>
      <c r="BH149" s="5"/>
      <c r="BI149" s="5">
        <f t="shared" si="215"/>
        <v>-0.20067921730244637</v>
      </c>
    </row>
    <row r="150" spans="2:61" x14ac:dyDescent="0.3">
      <c r="B150" s="34"/>
      <c r="C150" s="14">
        <f t="shared" si="243"/>
        <v>1.4</v>
      </c>
      <c r="D150" s="35" t="s">
        <v>37</v>
      </c>
      <c r="E150" s="36">
        <f t="shared" si="244"/>
        <v>-1.4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>
        <f t="shared" si="225"/>
        <v>-0.38945214796236571</v>
      </c>
      <c r="T150" s="5"/>
      <c r="U150" s="5">
        <f t="shared" si="226"/>
        <v>-0.39248667628644246</v>
      </c>
      <c r="V150" s="5"/>
      <c r="W150" s="5">
        <f t="shared" si="227"/>
        <v>-0.39707850395685362</v>
      </c>
      <c r="X150" s="5"/>
      <c r="Y150" s="5">
        <f t="shared" si="228"/>
        <v>-0.39472483790943319</v>
      </c>
      <c r="Z150" s="5"/>
      <c r="AA150" s="5">
        <f t="shared" si="229"/>
        <v>-0.39699943503864044</v>
      </c>
      <c r="AB150" s="5"/>
      <c r="AC150" s="5">
        <f t="shared" si="230"/>
        <v>-0.39081592759356953</v>
      </c>
      <c r="AD150" s="5"/>
      <c r="AE150" s="5">
        <f t="shared" si="231"/>
        <v>-0.3912171546764287</v>
      </c>
      <c r="AF150" s="5"/>
      <c r="AG150" s="5">
        <f t="shared" si="232"/>
        <v>-0.38236024432129284</v>
      </c>
      <c r="AH150" s="5"/>
      <c r="AI150" s="5">
        <f t="shared" si="233"/>
        <v>-0.38134962751733281</v>
      </c>
      <c r="AJ150" s="5"/>
      <c r="AK150" s="5">
        <f t="shared" si="234"/>
        <v>-0.37071031072432936</v>
      </c>
      <c r="AL150" s="5"/>
      <c r="AM150" s="5">
        <f t="shared" si="235"/>
        <v>-0.36862170308616965</v>
      </c>
      <c r="AN150" s="5"/>
      <c r="AO150" s="5">
        <f t="shared" si="236"/>
        <v>-0.35691961234074321</v>
      </c>
      <c r="AP150" s="5"/>
      <c r="AQ150" s="5">
        <f t="shared" si="237"/>
        <v>-0.35400208485118639</v>
      </c>
      <c r="AR150" s="5"/>
      <c r="AS150" s="5">
        <f t="shared" si="238"/>
        <v>-0.34161801546282056</v>
      </c>
      <c r="AT150" s="5"/>
      <c r="AU150" s="5">
        <f t="shared" si="239"/>
        <v>-0.33790000398450404</v>
      </c>
      <c r="AV150" s="5"/>
      <c r="AW150" s="5">
        <f t="shared" si="240"/>
        <v>-0.32504340585366409</v>
      </c>
      <c r="AX150" s="5"/>
      <c r="AY150" s="5">
        <f t="shared" si="241"/>
        <v>-0.32069944989748983</v>
      </c>
      <c r="AZ150" s="5"/>
      <c r="BA150" s="5">
        <f t="shared" si="211"/>
        <v>-0.30762645809121414</v>
      </c>
      <c r="BB150" s="5"/>
      <c r="BC150" s="5">
        <f t="shared" si="212"/>
        <v>-0.30280192363616143</v>
      </c>
      <c r="BD150" s="5"/>
      <c r="BE150" s="5">
        <f t="shared" si="213"/>
        <v>-0.28973668400952102</v>
      </c>
      <c r="BF150" s="5"/>
      <c r="BG150" s="5">
        <f t="shared" si="214"/>
        <v>-0.2846188286333271</v>
      </c>
      <c r="BH150" s="5"/>
      <c r="BI150" s="5">
        <f t="shared" si="215"/>
        <v>-0.2716251675279559</v>
      </c>
    </row>
    <row r="151" spans="2:61" x14ac:dyDescent="0.3">
      <c r="B151" s="34"/>
      <c r="C151" s="14">
        <f t="shared" si="243"/>
        <v>1.5999999999999999</v>
      </c>
      <c r="D151" s="35" t="s">
        <v>37</v>
      </c>
      <c r="E151" s="36">
        <f t="shared" si="244"/>
        <v>-1.5999999999999999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>
        <f t="shared" si="226"/>
        <v>-0.39587666137348226</v>
      </c>
      <c r="V151" s="5"/>
      <c r="W151" s="5">
        <f t="shared" si="227"/>
        <v>-0.39956023360721182</v>
      </c>
      <c r="X151" s="5"/>
      <c r="Y151" s="5">
        <f t="shared" si="228"/>
        <v>-0.40378139649604583</v>
      </c>
      <c r="Z151" s="5"/>
      <c r="AA151" s="5">
        <f t="shared" si="229"/>
        <v>-0.40384455812440517</v>
      </c>
      <c r="AB151" s="5"/>
      <c r="AC151" s="5">
        <f t="shared" si="230"/>
        <v>-0.40640954500061649</v>
      </c>
      <c r="AD151" s="5"/>
      <c r="AE151" s="5">
        <f t="shared" si="231"/>
        <v>-0.40355025095029939</v>
      </c>
      <c r="AF151" s="5"/>
      <c r="AG151" s="5">
        <f t="shared" si="232"/>
        <v>-0.40473189387701797</v>
      </c>
      <c r="AH151" s="5"/>
      <c r="AI151" s="5">
        <f t="shared" si="233"/>
        <v>-0.3995888723265365</v>
      </c>
      <c r="AJ151" s="5"/>
      <c r="AK151" s="5">
        <f t="shared" si="234"/>
        <v>-0.39964595031941319</v>
      </c>
      <c r="AL151" s="5"/>
      <c r="AM151" s="5">
        <f t="shared" si="235"/>
        <v>-0.3927810232069987</v>
      </c>
      <c r="AN151" s="5"/>
      <c r="AO151" s="5">
        <f t="shared" si="236"/>
        <v>-0.39192246818374138</v>
      </c>
      <c r="AP151" s="5"/>
      <c r="AQ151" s="5">
        <f t="shared" si="237"/>
        <v>-0.38383204315411967</v>
      </c>
      <c r="AR151" s="5"/>
      <c r="AS151" s="5">
        <f t="shared" si="238"/>
        <v>-0.38222662058246776</v>
      </c>
      <c r="AT151" s="5"/>
      <c r="AU151" s="5">
        <f t="shared" si="239"/>
        <v>-0.37324289406749173</v>
      </c>
      <c r="AV151" s="5"/>
      <c r="AW151" s="5">
        <f t="shared" si="240"/>
        <v>-0.37094696111678493</v>
      </c>
      <c r="AX151" s="5"/>
      <c r="AY151" s="5">
        <f t="shared" si="241"/>
        <v>-0.36128772602430137</v>
      </c>
      <c r="AZ151" s="5"/>
      <c r="BA151" s="5">
        <f t="shared" si="211"/>
        <v>-0.3584073151946302</v>
      </c>
      <c r="BB151" s="5"/>
      <c r="BC151" s="5">
        <f t="shared" si="212"/>
        <v>-0.34828543580420379</v>
      </c>
      <c r="BD151" s="5"/>
      <c r="BE151" s="5">
        <f t="shared" si="213"/>
        <v>-0.3449216687285902</v>
      </c>
      <c r="BF151" s="5"/>
      <c r="BG151" s="5">
        <f t="shared" si="214"/>
        <v>-0.33452890176593381</v>
      </c>
      <c r="BH151" s="5"/>
      <c r="BI151" s="5">
        <f t="shared" si="215"/>
        <v>-0.33080583107520645</v>
      </c>
    </row>
    <row r="152" spans="2:61" x14ac:dyDescent="0.3">
      <c r="B152" s="34"/>
      <c r="C152" s="14">
        <f t="shared" si="243"/>
        <v>1.7999999999999998</v>
      </c>
      <c r="D152" s="35" t="s">
        <v>37</v>
      </c>
      <c r="E152" s="36">
        <f t="shared" si="244"/>
        <v>-1.7999999999999998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>
        <f t="shared" si="227"/>
        <v>-0.40127835413438284</v>
      </c>
      <c r="X152" s="5"/>
      <c r="Y152" s="5">
        <f t="shared" si="228"/>
        <v>-0.40503656986092812</v>
      </c>
      <c r="Z152" s="5"/>
      <c r="AA152" s="5">
        <f t="shared" si="229"/>
        <v>-0.4088565143438968</v>
      </c>
      <c r="AB152" s="5"/>
      <c r="AC152" s="5">
        <f t="shared" si="230"/>
        <v>-0.41018132190102802</v>
      </c>
      <c r="AD152" s="5"/>
      <c r="AE152" s="5">
        <f t="shared" si="231"/>
        <v>-0.41279140183449736</v>
      </c>
      <c r="AF152" s="5"/>
      <c r="AG152" s="5">
        <f t="shared" si="232"/>
        <v>-0.41197792375318942</v>
      </c>
      <c r="AH152" s="5"/>
      <c r="AI152" s="5">
        <f t="shared" si="233"/>
        <v>-0.41356192063386277</v>
      </c>
      <c r="AJ152" s="5"/>
      <c r="AK152" s="5">
        <f t="shared" si="234"/>
        <v>-0.41093134497012657</v>
      </c>
      <c r="AL152" s="5"/>
      <c r="AM152" s="5">
        <f t="shared" si="235"/>
        <v>-0.41164134585840323</v>
      </c>
      <c r="AN152" s="5"/>
      <c r="AO152" s="5">
        <f t="shared" si="236"/>
        <v>-0.40751665859551733</v>
      </c>
      <c r="AP152" s="5"/>
      <c r="AQ152" s="5">
        <f t="shared" si="237"/>
        <v>-0.40748055957150425</v>
      </c>
      <c r="AR152" s="5"/>
      <c r="AS152" s="5">
        <f t="shared" si="238"/>
        <v>-0.40217636465296519</v>
      </c>
      <c r="AT152" s="5"/>
      <c r="AU152" s="5">
        <f t="shared" si="239"/>
        <v>-0.40150327052064805</v>
      </c>
      <c r="AV152" s="5"/>
      <c r="AW152" s="5">
        <f t="shared" si="240"/>
        <v>-0.39526597800626551</v>
      </c>
      <c r="AX152" s="5"/>
      <c r="AY152" s="5">
        <f t="shared" si="241"/>
        <v>-0.39400897612149161</v>
      </c>
      <c r="AZ152" s="5"/>
      <c r="BA152" s="5">
        <f t="shared" si="211"/>
        <v>-0.3870215851985806</v>
      </c>
      <c r="BB152" s="5"/>
      <c r="BC152" s="5">
        <f t="shared" si="212"/>
        <v>-0.38524795755919178</v>
      </c>
      <c r="BD152" s="5"/>
      <c r="BE152" s="5">
        <f t="shared" si="213"/>
        <v>-0.37767913380705337</v>
      </c>
      <c r="BF152" s="5"/>
      <c r="BG152" s="5">
        <f t="shared" si="214"/>
        <v>-0.37545680036786394</v>
      </c>
      <c r="BH152" s="5"/>
      <c r="BI152" s="5">
        <f t="shared" si="215"/>
        <v>-0.36746130004637817</v>
      </c>
    </row>
    <row r="153" spans="2:61" x14ac:dyDescent="0.3">
      <c r="B153" s="34"/>
      <c r="C153" s="14">
        <f t="shared" si="243"/>
        <v>1.9999999999999998</v>
      </c>
      <c r="D153" s="35" t="s">
        <v>37</v>
      </c>
      <c r="E153" s="36">
        <f t="shared" si="244"/>
        <v>-1.9999999999999998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>
        <f t="shared" si="228"/>
        <v>-0.40590553603661594</v>
      </c>
      <c r="Z153" s="5"/>
      <c r="AA153" s="5">
        <f t="shared" si="229"/>
        <v>-0.40949032203702312</v>
      </c>
      <c r="AB153" s="5"/>
      <c r="AC153" s="5">
        <f t="shared" si="230"/>
        <v>-0.41293024404878559</v>
      </c>
      <c r="AD153" s="5"/>
      <c r="AE153" s="5">
        <f t="shared" si="231"/>
        <v>-0.41485269876094583</v>
      </c>
      <c r="AF153" s="5"/>
      <c r="AG153" s="5">
        <f t="shared" si="232"/>
        <v>-0.4173831377778584</v>
      </c>
      <c r="AH153" s="5"/>
      <c r="AI153" s="5">
        <f t="shared" si="233"/>
        <v>-0.41776977062475884</v>
      </c>
      <c r="AJ153" s="5"/>
      <c r="AK153" s="5">
        <f t="shared" si="234"/>
        <v>-0.41952810371702276</v>
      </c>
      <c r="AL153" s="5"/>
      <c r="AM153" s="5">
        <f t="shared" si="235"/>
        <v>-0.41852788695829424</v>
      </c>
      <c r="AN153" s="5"/>
      <c r="AO153" s="5">
        <f t="shared" si="236"/>
        <v>-0.41961196463271833</v>
      </c>
      <c r="AP153" s="5"/>
      <c r="AQ153" s="5">
        <f t="shared" si="237"/>
        <v>-0.41739504357666674</v>
      </c>
      <c r="AR153" s="5"/>
      <c r="AS153" s="5">
        <f t="shared" si="238"/>
        <v>-0.41788473038504792</v>
      </c>
      <c r="AT153" s="5"/>
      <c r="AU153" s="5">
        <f t="shared" si="239"/>
        <v>-0.41463512913675238</v>
      </c>
      <c r="AV153" s="5"/>
      <c r="AW153" s="5">
        <f t="shared" si="240"/>
        <v>-0.41459968877484055</v>
      </c>
      <c r="AX153" s="5"/>
      <c r="AY153" s="5">
        <f t="shared" si="241"/>
        <v>-0.41048108634616948</v>
      </c>
      <c r="AZ153" s="5"/>
      <c r="BA153" s="5">
        <f t="shared" si="211"/>
        <v>-0.40996170742027516</v>
      </c>
      <c r="BB153" s="5"/>
      <c r="BC153" s="5">
        <f t="shared" si="212"/>
        <v>-0.4051090496851541</v>
      </c>
      <c r="BD153" s="5"/>
      <c r="BE153" s="5">
        <f t="shared" si="213"/>
        <v>-0.40414905774527482</v>
      </c>
      <c r="BF153" s="5"/>
      <c r="BG153" s="5">
        <f t="shared" si="214"/>
        <v>-0.3986874625688468</v>
      </c>
      <c r="BH153" s="5"/>
      <c r="BI153" s="5">
        <f t="shared" si="215"/>
        <v>-0.39733127473185847</v>
      </c>
    </row>
    <row r="154" spans="2:61" x14ac:dyDescent="0.3">
      <c r="B154" s="34"/>
      <c r="C154" s="14">
        <f t="shared" si="243"/>
        <v>2.1999999999999997</v>
      </c>
      <c r="D154" s="35" t="s">
        <v>37</v>
      </c>
      <c r="E154" s="36">
        <f t="shared" si="244"/>
        <v>-2.1999999999999997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>
        <f t="shared" si="229"/>
        <v>-0.40992911197841836</v>
      </c>
      <c r="AB154" s="5"/>
      <c r="AC154" s="5">
        <f t="shared" si="230"/>
        <v>-0.41324988615898994</v>
      </c>
      <c r="AD154" s="5"/>
      <c r="AE154" s="5">
        <f t="shared" si="231"/>
        <v>-0.41634912104889643</v>
      </c>
      <c r="AF154" s="5"/>
      <c r="AG154" s="5">
        <f t="shared" si="232"/>
        <v>-0.41850184497216575</v>
      </c>
      <c r="AH154" s="5"/>
      <c r="AI154" s="5">
        <f t="shared" si="233"/>
        <v>-0.42089601432606116</v>
      </c>
      <c r="AJ154" s="5"/>
      <c r="AK154" s="5">
        <f t="shared" si="234"/>
        <v>-0.42194705593973214</v>
      </c>
      <c r="AL154" s="5"/>
      <c r="AM154" s="5">
        <f t="shared" si="235"/>
        <v>-0.42374763404680471</v>
      </c>
      <c r="AN154" s="5"/>
      <c r="AO154" s="5">
        <f t="shared" si="236"/>
        <v>-0.42376336689966626</v>
      </c>
      <c r="AP154" s="5"/>
      <c r="AQ154" s="5">
        <f t="shared" si="237"/>
        <v>-0.42504117602229702</v>
      </c>
      <c r="AR154" s="5"/>
      <c r="AS154" s="5">
        <f t="shared" si="238"/>
        <v>-0.42410401134993986</v>
      </c>
      <c r="AT154" s="5"/>
      <c r="AU154" s="5">
        <f t="shared" si="239"/>
        <v>-0.42491236196224241</v>
      </c>
      <c r="AV154" s="5"/>
      <c r="AW154" s="5">
        <f t="shared" si="240"/>
        <v>-0.42312157599626354</v>
      </c>
      <c r="AX154" s="5"/>
      <c r="AY154" s="5">
        <f t="shared" si="241"/>
        <v>-0.4235052715419137</v>
      </c>
      <c r="AZ154" s="5"/>
      <c r="BA154" s="5">
        <f t="shared" si="211"/>
        <v>-0.4209599717476602</v>
      </c>
      <c r="BB154" s="5"/>
      <c r="BC154" s="5">
        <f t="shared" si="212"/>
        <v>-0.42094874267091181</v>
      </c>
      <c r="BD154" s="5"/>
      <c r="BE154" s="5">
        <f t="shared" si="213"/>
        <v>-0.41773889279377607</v>
      </c>
      <c r="BF154" s="5"/>
      <c r="BG154" s="5">
        <f t="shared" si="214"/>
        <v>-0.41736081786466189</v>
      </c>
      <c r="BH154" s="5"/>
      <c r="BI154" s="5">
        <f t="shared" si="215"/>
        <v>-0.41357290848627826</v>
      </c>
    </row>
    <row r="155" spans="2:61" x14ac:dyDescent="0.3">
      <c r="B155" s="34"/>
      <c r="C155" s="14">
        <f t="shared" si="243"/>
        <v>2.4</v>
      </c>
      <c r="D155" s="35" t="s">
        <v>37</v>
      </c>
      <c r="E155" s="36">
        <f t="shared" si="244"/>
        <v>-2.4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>
        <f t="shared" si="230"/>
        <v>-0.41347117685066986</v>
      </c>
      <c r="AD155" s="5"/>
      <c r="AE155" s="5">
        <f t="shared" si="231"/>
        <v>-0.41651015987127521</v>
      </c>
      <c r="AF155" s="5"/>
      <c r="AG155" s="5">
        <f t="shared" si="232"/>
        <v>-0.41931125519413392</v>
      </c>
      <c r="AH155" s="5"/>
      <c r="AI155" s="5">
        <f t="shared" si="233"/>
        <v>-0.42149955565470915</v>
      </c>
      <c r="AJ155" s="5"/>
      <c r="AK155" s="5">
        <f t="shared" si="234"/>
        <v>-0.42373769249838666</v>
      </c>
      <c r="AL155" s="5"/>
      <c r="AM155" s="5">
        <f t="shared" si="235"/>
        <v>-0.42512595667165864</v>
      </c>
      <c r="AN155" s="5"/>
      <c r="AO155" s="5">
        <f t="shared" si="236"/>
        <v>-0.42689602600521764</v>
      </c>
      <c r="AP155" s="5"/>
      <c r="AQ155" s="5">
        <f t="shared" si="237"/>
        <v>-0.42751691881069664</v>
      </c>
      <c r="AR155" s="5"/>
      <c r="AS155" s="5">
        <f t="shared" si="238"/>
        <v>-0.42887600342303145</v>
      </c>
      <c r="AT155" s="5"/>
      <c r="AU155" s="5">
        <f t="shared" si="239"/>
        <v>-0.42876705931498477</v>
      </c>
      <c r="AV155" s="5"/>
      <c r="AW155" s="5">
        <f t="shared" si="240"/>
        <v>-0.42975454534954005</v>
      </c>
      <c r="AX155" s="5"/>
      <c r="AY155" s="5">
        <f t="shared" si="241"/>
        <v>-0.42896505794188328</v>
      </c>
      <c r="AZ155" s="5"/>
      <c r="BA155" s="5">
        <f t="shared" si="211"/>
        <v>-0.42961178707988978</v>
      </c>
      <c r="BB155" s="5"/>
      <c r="BC155" s="5">
        <f t="shared" si="212"/>
        <v>-0.42819665887444169</v>
      </c>
      <c r="BD155" s="5"/>
      <c r="BE155" s="5">
        <f t="shared" si="213"/>
        <v>-0.42852402404016188</v>
      </c>
      <c r="BF155" s="5"/>
      <c r="BG155" s="5">
        <f t="shared" si="214"/>
        <v>-0.42653800827501459</v>
      </c>
      <c r="BH155" s="5"/>
      <c r="BI155" s="5">
        <f t="shared" si="215"/>
        <v>-0.42656457754545424</v>
      </c>
    </row>
    <row r="156" spans="2:61" x14ac:dyDescent="0.3">
      <c r="B156" s="34"/>
      <c r="C156" s="14">
        <f t="shared" si="243"/>
        <v>2.6</v>
      </c>
      <c r="D156" s="35" t="s">
        <v>37</v>
      </c>
      <c r="E156" s="36">
        <f t="shared" si="244"/>
        <v>-2.6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>
        <f t="shared" si="231"/>
        <v>-0.41662164828676818</v>
      </c>
      <c r="AF156" s="5"/>
      <c r="AG156" s="5">
        <f t="shared" si="232"/>
        <v>-0.41939232093285184</v>
      </c>
      <c r="AH156" s="5"/>
      <c r="AI156" s="5">
        <f t="shared" si="233"/>
        <v>-0.42193495865063602</v>
      </c>
      <c r="AJ156" s="5"/>
      <c r="AK156" s="5">
        <f t="shared" si="234"/>
        <v>-0.4240616283352262</v>
      </c>
      <c r="AL156" s="5"/>
      <c r="AM156" s="5">
        <f t="shared" si="235"/>
        <v>-0.42614289755954532</v>
      </c>
      <c r="AN156" s="5"/>
      <c r="AO156" s="5">
        <f t="shared" si="236"/>
        <v>-0.42767528968634855</v>
      </c>
      <c r="AP156" s="5"/>
      <c r="AQ156" s="5">
        <f t="shared" si="237"/>
        <v>-0.42937768344472149</v>
      </c>
      <c r="AR156" s="5"/>
      <c r="AS156" s="5">
        <f t="shared" si="238"/>
        <v>-0.4303383214211422</v>
      </c>
      <c r="AT156" s="5"/>
      <c r="AU156" s="5">
        <f t="shared" si="239"/>
        <v>-0.4317112294758933</v>
      </c>
      <c r="AV156" s="5"/>
      <c r="AW156" s="5">
        <f t="shared" si="240"/>
        <v>-0.43211798606617263</v>
      </c>
      <c r="AX156" s="5"/>
      <c r="AY156" s="5">
        <f t="shared" si="241"/>
        <v>-0.43319366044369723</v>
      </c>
      <c r="AZ156" s="5"/>
      <c r="BA156" s="5">
        <f t="shared" si="211"/>
        <v>-0.43306934057068308</v>
      </c>
      <c r="BB156" s="5"/>
      <c r="BC156" s="5">
        <f t="shared" si="212"/>
        <v>-0.43387114996446369</v>
      </c>
      <c r="BD156" s="5"/>
      <c r="BE156" s="5">
        <f t="shared" si="213"/>
        <v>-0.43324352492840895</v>
      </c>
      <c r="BF156" s="5"/>
      <c r="BG156" s="5">
        <f t="shared" si="214"/>
        <v>-0.43378766678502706</v>
      </c>
      <c r="BH156" s="5"/>
      <c r="BI156" s="5">
        <f t="shared" si="215"/>
        <v>-0.43268712159686173</v>
      </c>
    </row>
    <row r="157" spans="2:61" x14ac:dyDescent="0.3">
      <c r="B157" s="34"/>
      <c r="C157" s="14">
        <f t="shared" si="243"/>
        <v>2.8000000000000003</v>
      </c>
      <c r="D157" s="35" t="s">
        <v>37</v>
      </c>
      <c r="E157" s="36">
        <f t="shared" si="244"/>
        <v>-2.8000000000000003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>
        <f t="shared" si="232"/>
        <v>-0.41944844336734888</v>
      </c>
      <c r="AH157" s="5"/>
      <c r="AI157" s="5">
        <f t="shared" si="233"/>
        <v>-0.42197573847013931</v>
      </c>
      <c r="AJ157" s="5"/>
      <c r="AK157" s="5">
        <f t="shared" si="234"/>
        <v>-0.42429472335316626</v>
      </c>
      <c r="AL157" s="5"/>
      <c r="AM157" s="5">
        <f t="shared" si="235"/>
        <v>-0.42631598039146124</v>
      </c>
      <c r="AN157" s="5"/>
      <c r="AO157" s="5">
        <f t="shared" si="236"/>
        <v>-0.42824851184655921</v>
      </c>
      <c r="AP157" s="5"/>
      <c r="AQ157" s="5">
        <f t="shared" si="237"/>
        <v>-0.42981521177933102</v>
      </c>
      <c r="AR157" s="5"/>
      <c r="AS157" s="5">
        <f t="shared" si="238"/>
        <v>-0.43143343962555358</v>
      </c>
      <c r="AT157" s="5"/>
      <c r="AU157" s="5">
        <f t="shared" si="239"/>
        <v>-0.43256754471566766</v>
      </c>
      <c r="AV157" s="5"/>
      <c r="AW157" s="5">
        <f t="shared" si="240"/>
        <v>-0.43391569908394706</v>
      </c>
      <c r="AX157" s="5"/>
      <c r="AY157" s="5">
        <f t="shared" si="241"/>
        <v>-0.43462866248279536</v>
      </c>
      <c r="AZ157" s="5"/>
      <c r="BA157" s="5">
        <f t="shared" si="211"/>
        <v>-0.43573517945861184</v>
      </c>
      <c r="BB157" s="5"/>
      <c r="BC157" s="5">
        <f t="shared" si="212"/>
        <v>-0.4360376959993586</v>
      </c>
      <c r="BD157" s="5"/>
      <c r="BE157" s="5">
        <f t="shared" si="213"/>
        <v>-0.43692212682379028</v>
      </c>
      <c r="BF157" s="5"/>
      <c r="BG157" s="5">
        <f t="shared" si="214"/>
        <v>-0.436827135623651</v>
      </c>
      <c r="BH157" s="5"/>
      <c r="BI157" s="5">
        <f t="shared" si="215"/>
        <v>-0.43750280075362546</v>
      </c>
    </row>
    <row r="158" spans="2:61" x14ac:dyDescent="0.3">
      <c r="B158" s="34"/>
      <c r="C158" s="14">
        <f t="shared" si="243"/>
        <v>3.0000000000000004</v>
      </c>
      <c r="D158" s="35" t="s">
        <v>37</v>
      </c>
      <c r="E158" s="36">
        <f t="shared" si="244"/>
        <v>-3.0000000000000004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>
        <f t="shared" si="233"/>
        <v>-0.42200397065287232</v>
      </c>
      <c r="AJ158" s="5"/>
      <c r="AK158" s="5">
        <f t="shared" si="234"/>
        <v>-0.42431522562132074</v>
      </c>
      <c r="AL158" s="5"/>
      <c r="AM158" s="5">
        <f t="shared" si="235"/>
        <v>-0.42644024498873417</v>
      </c>
      <c r="AN158" s="5"/>
      <c r="AO158" s="5">
        <f t="shared" si="236"/>
        <v>-0.4283406254631375</v>
      </c>
      <c r="AP158" s="5"/>
      <c r="AQ158" s="5">
        <f t="shared" si="237"/>
        <v>-0.43013617249185537</v>
      </c>
      <c r="AR158" s="5"/>
      <c r="AS158" s="5">
        <f t="shared" si="238"/>
        <v>-0.43167757732445744</v>
      </c>
      <c r="AT158" s="5"/>
      <c r="AU158" s="5">
        <f t="shared" si="239"/>
        <v>-0.4332067302128324</v>
      </c>
      <c r="AV158" s="5"/>
      <c r="AW158" s="5">
        <f t="shared" si="240"/>
        <v>-0.43441326182844792</v>
      </c>
      <c r="AX158" s="5"/>
      <c r="AY158" s="5">
        <f t="shared" si="241"/>
        <v>-0.43571607177771926</v>
      </c>
      <c r="AZ158" s="5"/>
      <c r="BA158" s="5">
        <f t="shared" si="211"/>
        <v>-0.43659875688264393</v>
      </c>
      <c r="BB158" s="5"/>
      <c r="BC158" s="5">
        <f t="shared" si="212"/>
        <v>-0.43770128142512021</v>
      </c>
      <c r="BD158" s="5"/>
      <c r="BE158" s="5">
        <f t="shared" si="213"/>
        <v>-0.43826664482882732</v>
      </c>
      <c r="BF158" s="5"/>
      <c r="BG158" s="5">
        <f t="shared" si="214"/>
        <v>-0.4391864747487077</v>
      </c>
      <c r="BH158" s="5"/>
      <c r="BI158" s="5">
        <f t="shared" si="215"/>
        <v>-0.43944053839586844</v>
      </c>
    </row>
    <row r="159" spans="2:61" x14ac:dyDescent="0.3">
      <c r="B159" s="34"/>
      <c r="C159" s="14">
        <f t="shared" si="243"/>
        <v>3.2000000000000006</v>
      </c>
      <c r="D159" s="35" t="s">
        <v>37</v>
      </c>
      <c r="E159" s="36">
        <f t="shared" si="244"/>
        <v>-3.2000000000000006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>
        <f t="shared" si="234"/>
        <v>-0.42432941949927377</v>
      </c>
      <c r="AL159" s="5"/>
      <c r="AM159" s="5">
        <f t="shared" si="235"/>
        <v>-0.42645054753825296</v>
      </c>
      <c r="AN159" s="5"/>
      <c r="AO159" s="5">
        <f t="shared" si="236"/>
        <v>-0.42840662562575071</v>
      </c>
      <c r="AP159" s="5"/>
      <c r="AQ159" s="5">
        <f t="shared" si="237"/>
        <v>-0.43018502216064403</v>
      </c>
      <c r="AR159" s="5"/>
      <c r="AS159" s="5">
        <f t="shared" si="238"/>
        <v>-0.43185622102737026</v>
      </c>
      <c r="AT159" s="5"/>
      <c r="AU159" s="5">
        <f t="shared" si="239"/>
        <v>-0.43334219967847282</v>
      </c>
      <c r="AV159" s="5"/>
      <c r="AW159" s="5">
        <f t="shared" si="240"/>
        <v>-0.43478354695400789</v>
      </c>
      <c r="AX159" s="5"/>
      <c r="AY159" s="5">
        <f t="shared" si="241"/>
        <v>-0.43600314971664927</v>
      </c>
      <c r="AZ159" s="5"/>
      <c r="BA159" s="5">
        <f t="shared" si="211"/>
        <v>-0.4372509044565448</v>
      </c>
      <c r="BB159" s="5"/>
      <c r="BC159" s="5">
        <f t="shared" si="212"/>
        <v>-0.43821678043842627</v>
      </c>
      <c r="BD159" s="5"/>
      <c r="BE159" s="5">
        <f t="shared" si="213"/>
        <v>-0.43929514071586151</v>
      </c>
      <c r="BF159" s="5"/>
      <c r="BG159" s="5">
        <f t="shared" si="214"/>
        <v>-0.44001348368311943</v>
      </c>
      <c r="BH159" s="5"/>
      <c r="BI159" s="5">
        <f t="shared" si="215"/>
        <v>-0.44093889897574839</v>
      </c>
    </row>
    <row r="160" spans="2:61" x14ac:dyDescent="0.3">
      <c r="B160" s="34"/>
      <c r="C160" s="14">
        <f t="shared" si="243"/>
        <v>3.4000000000000008</v>
      </c>
      <c r="D160" s="35" t="s">
        <v>37</v>
      </c>
      <c r="E160" s="36">
        <f t="shared" si="244"/>
        <v>-3.4000000000000008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>
        <f t="shared" si="235"/>
        <v>-0.42645768007253521</v>
      </c>
      <c r="AN160" s="5"/>
      <c r="AO160" s="5">
        <f t="shared" si="236"/>
        <v>-0.42841180054803041</v>
      </c>
      <c r="AP160" s="5"/>
      <c r="AQ160" s="5">
        <f t="shared" si="237"/>
        <v>-0.43021996046712641</v>
      </c>
      <c r="AR160" s="5"/>
      <c r="AS160" s="5">
        <f t="shared" si="238"/>
        <v>-0.4318820454063042</v>
      </c>
      <c r="AT160" s="5"/>
      <c r="AU160" s="5">
        <f t="shared" si="239"/>
        <v>-0.43344109822845944</v>
      </c>
      <c r="AV160" s="5"/>
      <c r="AW160" s="5">
        <f t="shared" si="240"/>
        <v>-0.43485833947766406</v>
      </c>
      <c r="AX160" s="5"/>
      <c r="AY160" s="5">
        <f t="shared" si="241"/>
        <v>-0.43621620318103493</v>
      </c>
      <c r="AZ160" s="5"/>
      <c r="BA160" s="5">
        <f t="shared" si="211"/>
        <v>-0.43741547907132544</v>
      </c>
      <c r="BB160" s="5"/>
      <c r="BC160" s="5">
        <f t="shared" si="212"/>
        <v>-0.43860483901488767</v>
      </c>
      <c r="BD160" s="5"/>
      <c r="BE160" s="5">
        <f t="shared" si="213"/>
        <v>-0.43960058132841551</v>
      </c>
      <c r="BF160" s="5"/>
      <c r="BG160" s="5">
        <f t="shared" si="214"/>
        <v>-0.44064390836911821</v>
      </c>
      <c r="BH160" s="5"/>
      <c r="BI160" s="5">
        <f t="shared" si="215"/>
        <v>-0.44144344741653113</v>
      </c>
    </row>
    <row r="161" spans="2:61" x14ac:dyDescent="0.3">
      <c r="B161" s="34"/>
      <c r="C161" s="14">
        <f t="shared" si="243"/>
        <v>3.600000000000001</v>
      </c>
      <c r="D161" s="35" t="s">
        <v>37</v>
      </c>
      <c r="E161" s="36">
        <f t="shared" si="244"/>
        <v>-3.600000000000001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>
        <f t="shared" si="236"/>
        <v>-0.42841538318653166</v>
      </c>
      <c r="AP161" s="5"/>
      <c r="AQ161" s="5">
        <f t="shared" si="237"/>
        <v>-0.43022255885376409</v>
      </c>
      <c r="AR161" s="5"/>
      <c r="AS161" s="5">
        <f t="shared" si="238"/>
        <v>-0.43190048565823913</v>
      </c>
      <c r="AT161" s="5"/>
      <c r="AU161" s="5">
        <f t="shared" si="239"/>
        <v>-0.43345471163098254</v>
      </c>
      <c r="AV161" s="5"/>
      <c r="AW161" s="5">
        <f t="shared" si="240"/>
        <v>-0.43491282496734085</v>
      </c>
      <c r="AX161" s="5"/>
      <c r="AY161" s="5">
        <f t="shared" si="241"/>
        <v>-0.43625730733802198</v>
      </c>
      <c r="AZ161" s="5"/>
      <c r="BA161" s="5">
        <f t="shared" si="211"/>
        <v>-0.43753730624086545</v>
      </c>
      <c r="BB161" s="5"/>
      <c r="BC161" s="5">
        <f t="shared" si="212"/>
        <v>-0.4386986330563053</v>
      </c>
      <c r="BD161" s="5"/>
      <c r="BE161" s="5">
        <f t="shared" si="213"/>
        <v>-0.43982984046690088</v>
      </c>
      <c r="BF161" s="5"/>
      <c r="BG161" s="5">
        <f t="shared" si="214"/>
        <v>-0.44082365354278502</v>
      </c>
      <c r="BH161" s="5"/>
      <c r="BI161" s="5">
        <f t="shared" si="215"/>
        <v>-0.44182682433101855</v>
      </c>
    </row>
    <row r="162" spans="2:61" x14ac:dyDescent="0.3">
      <c r="B162" s="34"/>
      <c r="C162" s="14">
        <f t="shared" si="243"/>
        <v>3.8000000000000012</v>
      </c>
      <c r="D162" s="35" t="s">
        <v>37</v>
      </c>
      <c r="E162" s="36">
        <f t="shared" si="244"/>
        <v>-3.8000000000000012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>
        <f t="shared" si="237"/>
        <v>-0.43022435773682094</v>
      </c>
      <c r="AR162" s="5"/>
      <c r="AS162" s="5">
        <f t="shared" si="238"/>
        <v>-0.43190178991980144</v>
      </c>
      <c r="AT162" s="5"/>
      <c r="AU162" s="5">
        <f t="shared" si="239"/>
        <v>-0.43346441822863957</v>
      </c>
      <c r="AV162" s="5"/>
      <c r="AW162" s="5">
        <f t="shared" si="240"/>
        <v>-0.43491998294424344</v>
      </c>
      <c r="AX162" s="5"/>
      <c r="AY162" s="5">
        <f t="shared" si="241"/>
        <v>-0.43628719228727075</v>
      </c>
      <c r="AZ162" s="5"/>
      <c r="BA162" s="5">
        <f t="shared" si="211"/>
        <v>-0.43755980188698329</v>
      </c>
      <c r="BB162" s="5"/>
      <c r="BC162" s="5">
        <f t="shared" si="212"/>
        <v>-0.4387679006999658</v>
      </c>
      <c r="BD162" s="5"/>
      <c r="BE162" s="5">
        <f t="shared" si="213"/>
        <v>-0.43988300794903806</v>
      </c>
      <c r="BF162" s="5"/>
      <c r="BG162" s="5">
        <f t="shared" si="214"/>
        <v>-0.44095820254891344</v>
      </c>
      <c r="BH162" s="5"/>
      <c r="BI162" s="5">
        <f t="shared" si="215"/>
        <v>-0.44193193537397418</v>
      </c>
    </row>
    <row r="163" spans="2:61" x14ac:dyDescent="0.3">
      <c r="B163" s="34"/>
      <c r="C163" s="14">
        <f t="shared" si="243"/>
        <v>4.0000000000000009</v>
      </c>
      <c r="D163" s="35" t="s">
        <v>37</v>
      </c>
      <c r="E163" s="36">
        <f t="shared" si="244"/>
        <v>-4.0000000000000009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>
        <f t="shared" si="238"/>
        <v>-0.43190269287011385</v>
      </c>
      <c r="AT163" s="5"/>
      <c r="AU163" s="5">
        <f t="shared" si="239"/>
        <v>-0.43346507271914547</v>
      </c>
      <c r="AV163" s="5"/>
      <c r="AW163" s="5">
        <f t="shared" si="240"/>
        <v>-0.43492507990874224</v>
      </c>
      <c r="AX163" s="5"/>
      <c r="AY163" s="5">
        <f t="shared" si="241"/>
        <v>-0.43629094722536205</v>
      </c>
      <c r="AZ163" s="5"/>
      <c r="BA163" s="5">
        <f t="shared" si="211"/>
        <v>-0.43757612758915587</v>
      </c>
      <c r="BB163" s="5"/>
      <c r="BC163" s="5">
        <f t="shared" si="212"/>
        <v>-0.43878016517294305</v>
      </c>
      <c r="BD163" s="5"/>
      <c r="BE163" s="5">
        <f t="shared" si="213"/>
        <v>-0.43992218640888159</v>
      </c>
      <c r="BF163" s="5"/>
      <c r="BG163" s="5">
        <f t="shared" si="214"/>
        <v>-0.44098819139827866</v>
      </c>
      <c r="BH163" s="5"/>
      <c r="BI163" s="5">
        <f t="shared" si="215"/>
        <v>-0.4420104186903635</v>
      </c>
    </row>
    <row r="164" spans="2:61" x14ac:dyDescent="0.3">
      <c r="B164" s="34"/>
      <c r="C164" s="14">
        <f t="shared" si="243"/>
        <v>4.2000000000000011</v>
      </c>
      <c r="D164" s="35" t="s">
        <v>37</v>
      </c>
      <c r="E164" s="36">
        <f t="shared" si="244"/>
        <v>-4.2000000000000011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>
        <f t="shared" si="239"/>
        <v>-0.43346552582795728</v>
      </c>
      <c r="AV164" s="5"/>
      <c r="AW164" s="5">
        <f t="shared" si="240"/>
        <v>-0.4349254082563066</v>
      </c>
      <c r="AX164" s="5"/>
      <c r="AY164" s="5">
        <f t="shared" si="241"/>
        <v>-0.43629361774138647</v>
      </c>
      <c r="AZ164" s="5"/>
      <c r="BA164" s="5">
        <f t="shared" si="211"/>
        <v>-0.43757809317879409</v>
      </c>
      <c r="BB164" s="5"/>
      <c r="BC164" s="5">
        <f t="shared" si="212"/>
        <v>-0.43878905073647329</v>
      </c>
      <c r="BD164" s="5"/>
      <c r="BE164" s="5">
        <f t="shared" si="213"/>
        <v>-0.43992884942963612</v>
      </c>
      <c r="BF164" s="5"/>
      <c r="BG164" s="5">
        <f t="shared" si="214"/>
        <v>-0.44101024460276844</v>
      </c>
      <c r="BH164" s="5"/>
      <c r="BI164" s="5">
        <f t="shared" si="215"/>
        <v>-0.44202725627833817</v>
      </c>
    </row>
    <row r="165" spans="2:61" x14ac:dyDescent="0.3">
      <c r="B165" s="34"/>
      <c r="C165" s="14">
        <f t="shared" si="243"/>
        <v>4.4000000000000012</v>
      </c>
      <c r="D165" s="35" t="s">
        <v>37</v>
      </c>
      <c r="E165" s="36">
        <f t="shared" si="244"/>
        <v>-4.4000000000000012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>
        <f t="shared" si="240"/>
        <v>-0.43492563557385117</v>
      </c>
      <c r="AX165" s="5"/>
      <c r="AY165" s="5">
        <f t="shared" si="241"/>
        <v>-0.43629378243165368</v>
      </c>
      <c r="AZ165" s="5"/>
      <c r="BA165" s="5">
        <f t="shared" si="211"/>
        <v>-0.43757948954790354</v>
      </c>
      <c r="BB165" s="5"/>
      <c r="BC165" s="5">
        <f t="shared" si="212"/>
        <v>-0.43879007765993266</v>
      </c>
      <c r="BD165" s="5"/>
      <c r="BE165" s="5">
        <f t="shared" si="213"/>
        <v>-0.43993366913387455</v>
      </c>
      <c r="BF165" s="5"/>
      <c r="BG165" s="5">
        <f t="shared" si="214"/>
        <v>-0.44101385274725646</v>
      </c>
      <c r="BH165" s="5"/>
      <c r="BI165" s="5">
        <f t="shared" si="215"/>
        <v>-0.44203961462460822</v>
      </c>
    </row>
    <row r="166" spans="2:61" x14ac:dyDescent="0.3">
      <c r="B166" s="34"/>
      <c r="C166" s="14">
        <f t="shared" si="243"/>
        <v>4.6000000000000014</v>
      </c>
      <c r="D166" s="35" t="s">
        <v>37</v>
      </c>
      <c r="E166" s="36">
        <f t="shared" si="244"/>
        <v>-4.6000000000000014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>
        <f t="shared" si="241"/>
        <v>-0.43629389644799238</v>
      </c>
      <c r="AZ166" s="5"/>
      <c r="BA166" s="5">
        <f t="shared" si="211"/>
        <v>-0.43757957213570353</v>
      </c>
      <c r="BB166" s="5"/>
      <c r="BC166" s="5">
        <f t="shared" si="212"/>
        <v>-0.43879080644432317</v>
      </c>
      <c r="BD166" s="5"/>
      <c r="BE166" s="5">
        <f t="shared" si="213"/>
        <v>-0.43993420469205152</v>
      </c>
      <c r="BF166" s="5"/>
      <c r="BG166" s="5">
        <f t="shared" si="214"/>
        <v>-0.44101645885170654</v>
      </c>
      <c r="BH166" s="5"/>
      <c r="BI166" s="5">
        <f t="shared" si="215"/>
        <v>-0.44204156264069666</v>
      </c>
    </row>
    <row r="167" spans="2:61" x14ac:dyDescent="0.3">
      <c r="B167" s="34"/>
      <c r="C167" s="14">
        <f t="shared" si="243"/>
        <v>4.8000000000000016</v>
      </c>
      <c r="D167" s="35" t="s">
        <v>37</v>
      </c>
      <c r="E167" s="36">
        <f t="shared" si="244"/>
        <v>-4.8000000000000016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>
        <f t="shared" si="211"/>
        <v>-0.43757962931187266</v>
      </c>
      <c r="BB167" s="5"/>
      <c r="BC167" s="5">
        <f t="shared" si="212"/>
        <v>-0.4387908478525272</v>
      </c>
      <c r="BD167" s="5"/>
      <c r="BE167" s="5">
        <f t="shared" si="213"/>
        <v>-0.43993458440503452</v>
      </c>
      <c r="BF167" s="5"/>
      <c r="BG167" s="5">
        <f t="shared" si="214"/>
        <v>-0.441016737694158</v>
      </c>
      <c r="BH167" s="5"/>
      <c r="BI167" s="5">
        <f t="shared" si="215"/>
        <v>-0.44204296771839663</v>
      </c>
    </row>
    <row r="168" spans="2:61" x14ac:dyDescent="0.3">
      <c r="B168" s="34"/>
      <c r="C168" s="14">
        <f t="shared" si="243"/>
        <v>5.0000000000000018</v>
      </c>
      <c r="D168" s="35" t="s">
        <v>37</v>
      </c>
      <c r="E168" s="36">
        <f t="shared" si="244"/>
        <v>-5.0000000000000018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>
        <f t="shared" ref="BC168" si="245">$F$95*$F$96*$F$97*$F$88*VLOOKUP(BB$2,$BO$89:$BR$116,2,0)*($F$98+BC69-(VLOOKUP(BB$101,$BO$89:$BR$116,3,0)))</f>
        <v>-0.4387908765197453</v>
      </c>
      <c r="BD168" s="5"/>
      <c r="BE168" s="5">
        <f t="shared" ref="BE168:BE169" si="246">$F$95*$F$96*$F$97*$F$88*VLOOKUP(BD$2,$BO$89:$BR$116,2,0)*($F$98+BE69-(VLOOKUP(BD$101,$BO$89:$BR$116,3,0)))</f>
        <v>-0.4399346051631034</v>
      </c>
      <c r="BF168" s="5"/>
      <c r="BG168" s="5">
        <f t="shared" ref="BG168:BG170" si="247">$F$95*$F$96*$F$97*$F$88*VLOOKUP(BF$2,$BO$89:$BR$116,2,0)*($F$98+BG69-(VLOOKUP(BF$101,$BO$89:$BR$116,3,0)))</f>
        <v>-0.44101693522090041</v>
      </c>
      <c r="BH168" s="5"/>
      <c r="BI168" s="5">
        <f t="shared" ref="BI168:BI171" si="248">$F$95*$F$96*$F$97*$F$88*VLOOKUP(BH$2,$BO$89:$BR$116,2,0)*($F$98+BI69-(VLOOKUP(BH$101,$BO$89:$BR$116,3,0)))</f>
        <v>-0.44204311267845403</v>
      </c>
    </row>
    <row r="169" spans="2:61" x14ac:dyDescent="0.3">
      <c r="B169" s="34"/>
      <c r="C169" s="14">
        <f t="shared" si="243"/>
        <v>5.200000000000002</v>
      </c>
      <c r="D169" s="35" t="s">
        <v>37</v>
      </c>
      <c r="E169" s="36">
        <f t="shared" si="244"/>
        <v>-5.200000000000002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>
        <f t="shared" si="246"/>
        <v>-0.4399346195340742</v>
      </c>
      <c r="BF169" s="5"/>
      <c r="BG169" s="5">
        <f t="shared" si="247"/>
        <v>-0.44101694562546945</v>
      </c>
      <c r="BH169" s="5"/>
      <c r="BI169" s="5">
        <f t="shared" si="248"/>
        <v>-0.44204321528161578</v>
      </c>
    </row>
    <row r="170" spans="2:61" x14ac:dyDescent="0.3">
      <c r="B170" s="34"/>
      <c r="C170" s="14">
        <f t="shared" si="243"/>
        <v>5.4000000000000021</v>
      </c>
      <c r="D170" s="35" t="s">
        <v>37</v>
      </c>
      <c r="E170" s="36">
        <f t="shared" si="244"/>
        <v>-5.4000000000000021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>
        <f t="shared" si="247"/>
        <v>-0.44101695282863268</v>
      </c>
      <c r="BH170" s="5"/>
      <c r="BI170" s="5">
        <f t="shared" si="248"/>
        <v>-0.44204322049600631</v>
      </c>
    </row>
    <row r="171" spans="2:61" x14ac:dyDescent="0.3">
      <c r="B171" s="34"/>
      <c r="C171" s="14">
        <f t="shared" si="243"/>
        <v>5.6000000000000023</v>
      </c>
      <c r="D171" s="35" t="s">
        <v>37</v>
      </c>
      <c r="E171" s="36">
        <f t="shared" si="244"/>
        <v>-5.6000000000000023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>
        <f t="shared" si="248"/>
        <v>-0.44204322410596897</v>
      </c>
    </row>
    <row r="172" spans="2:61" x14ac:dyDescent="0.3">
      <c r="B172" s="34"/>
      <c r="C172" s="14">
        <f t="shared" si="243"/>
        <v>5.8000000000000025</v>
      </c>
      <c r="D172" s="35" t="s">
        <v>37</v>
      </c>
      <c r="E172" s="36">
        <f t="shared" si="244"/>
        <v>-5.8000000000000025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</row>
    <row r="173" spans="2:61" x14ac:dyDescent="0.3">
      <c r="B173" s="34"/>
      <c r="C173" s="14">
        <f t="shared" si="243"/>
        <v>6.0000000000000027</v>
      </c>
      <c r="D173" s="35" t="s">
        <v>37</v>
      </c>
      <c r="E173" s="36">
        <f t="shared" si="244"/>
        <v>-6.0000000000000027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</row>
    <row r="174" spans="2:61" x14ac:dyDescent="0.3">
      <c r="B174" s="34"/>
      <c r="C174" s="14">
        <f t="shared" si="243"/>
        <v>6.2000000000000028</v>
      </c>
      <c r="D174" s="35" t="s">
        <v>37</v>
      </c>
      <c r="E174" s="36">
        <f t="shared" si="244"/>
        <v>-6.2000000000000028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</row>
    <row r="175" spans="2:61" x14ac:dyDescent="0.3">
      <c r="B175" s="34"/>
      <c r="C175" s="14">
        <f t="shared" si="243"/>
        <v>6.400000000000003</v>
      </c>
      <c r="D175" s="35" t="s">
        <v>37</v>
      </c>
      <c r="E175" s="36">
        <f t="shared" si="244"/>
        <v>-6.400000000000003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</row>
    <row r="176" spans="2:61" x14ac:dyDescent="0.3">
      <c r="B176" s="34"/>
      <c r="C176" s="14">
        <f t="shared" si="243"/>
        <v>6.6000000000000032</v>
      </c>
      <c r="D176" s="35" t="s">
        <v>37</v>
      </c>
      <c r="E176" s="36">
        <f t="shared" si="244"/>
        <v>-6.6000000000000032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</row>
    <row r="177" spans="2:61" x14ac:dyDescent="0.3">
      <c r="B177" s="34"/>
      <c r="C177" s="14">
        <f t="shared" si="243"/>
        <v>6.8000000000000034</v>
      </c>
      <c r="D177" s="35" t="s">
        <v>37</v>
      </c>
      <c r="E177" s="36">
        <f t="shared" si="244"/>
        <v>-6.8000000000000034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</row>
    <row r="178" spans="2:61" x14ac:dyDescent="0.3">
      <c r="B178" s="34"/>
      <c r="C178" s="14">
        <f t="shared" si="243"/>
        <v>7.0000000000000036</v>
      </c>
      <c r="D178" s="35" t="s">
        <v>37</v>
      </c>
      <c r="E178" s="36">
        <f t="shared" si="244"/>
        <v>-7.0000000000000036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</row>
    <row r="179" spans="2:61" x14ac:dyDescent="0.3">
      <c r="B179" s="34"/>
      <c r="C179" s="14">
        <f t="shared" si="243"/>
        <v>7.2000000000000037</v>
      </c>
      <c r="D179" s="35" t="s">
        <v>37</v>
      </c>
      <c r="E179" s="36">
        <f t="shared" si="244"/>
        <v>-7.2000000000000037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</row>
    <row r="180" spans="2:61" x14ac:dyDescent="0.3">
      <c r="B180" s="34"/>
      <c r="C180" s="14">
        <f t="shared" si="243"/>
        <v>7.4000000000000039</v>
      </c>
      <c r="D180" s="35" t="s">
        <v>37</v>
      </c>
      <c r="E180" s="36">
        <f t="shared" si="244"/>
        <v>-7.4000000000000039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</row>
    <row r="181" spans="2:61" x14ac:dyDescent="0.3">
      <c r="B181" s="34"/>
      <c r="C181" s="14">
        <f t="shared" si="243"/>
        <v>7.6000000000000041</v>
      </c>
      <c r="D181" s="35" t="s">
        <v>37</v>
      </c>
      <c r="E181" s="36">
        <f t="shared" si="244"/>
        <v>-7.6000000000000041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</row>
    <row r="182" spans="2:61" x14ac:dyDescent="0.3">
      <c r="B182" s="34"/>
      <c r="C182" s="14">
        <f t="shared" si="243"/>
        <v>7.8000000000000043</v>
      </c>
      <c r="D182" s="35" t="s">
        <v>37</v>
      </c>
      <c r="E182" s="36">
        <f t="shared" si="244"/>
        <v>-7.8000000000000043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</row>
    <row r="183" spans="2:61" x14ac:dyDescent="0.3">
      <c r="B183" s="34"/>
      <c r="C183" s="14">
        <f t="shared" si="243"/>
        <v>8.0000000000000036</v>
      </c>
      <c r="D183" s="35" t="s">
        <v>37</v>
      </c>
      <c r="E183" s="36">
        <f t="shared" si="244"/>
        <v>-8.0000000000000036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</row>
    <row r="186" spans="2:61" x14ac:dyDescent="0.3">
      <c r="F186" s="5"/>
    </row>
  </sheetData>
  <mergeCells count="98">
    <mergeCell ref="BQ114:BR114"/>
    <mergeCell ref="BQ115:BR115"/>
    <mergeCell ref="BQ116:BR116"/>
    <mergeCell ref="D124:D143"/>
    <mergeCell ref="B144:B183"/>
    <mergeCell ref="BQ108:BR108"/>
    <mergeCell ref="BQ109:BR109"/>
    <mergeCell ref="BQ110:BR110"/>
    <mergeCell ref="BQ111:BR111"/>
    <mergeCell ref="BQ112:BR112"/>
    <mergeCell ref="BQ113:BR113"/>
    <mergeCell ref="BQ101:BR101"/>
    <mergeCell ref="E102:E103"/>
    <mergeCell ref="BQ102:BR102"/>
    <mergeCell ref="BQ103:BR103"/>
    <mergeCell ref="B104:B143"/>
    <mergeCell ref="D104:D123"/>
    <mergeCell ref="BQ104:BR104"/>
    <mergeCell ref="BQ105:BR105"/>
    <mergeCell ref="BQ106:BR106"/>
    <mergeCell ref="BQ107:BR107"/>
    <mergeCell ref="AX101:AY101"/>
    <mergeCell ref="AZ101:BA101"/>
    <mergeCell ref="BB101:BC101"/>
    <mergeCell ref="BD101:BE101"/>
    <mergeCell ref="BF101:BG101"/>
    <mergeCell ref="BH101:BI101"/>
    <mergeCell ref="AJ101:AK101"/>
    <mergeCell ref="AL101:AM101"/>
    <mergeCell ref="AN101:AO101"/>
    <mergeCell ref="AP101:AQ101"/>
    <mergeCell ref="AR101:AS101"/>
    <mergeCell ref="AT101:AU101"/>
    <mergeCell ref="X101:Y101"/>
    <mergeCell ref="Z101:AA101"/>
    <mergeCell ref="AB101:AC101"/>
    <mergeCell ref="AD101:AE101"/>
    <mergeCell ref="AF101:AG101"/>
    <mergeCell ref="AH101:AI101"/>
    <mergeCell ref="L101:M101"/>
    <mergeCell ref="N101:O101"/>
    <mergeCell ref="P101:Q101"/>
    <mergeCell ref="R101:S101"/>
    <mergeCell ref="T101:U101"/>
    <mergeCell ref="V101:W101"/>
    <mergeCell ref="BQ96:BR96"/>
    <mergeCell ref="BQ97:BR97"/>
    <mergeCell ref="BQ98:BR98"/>
    <mergeCell ref="BQ99:BR99"/>
    <mergeCell ref="BQ100:BR100"/>
    <mergeCell ref="B101:B103"/>
    <mergeCell ref="C101:C103"/>
    <mergeCell ref="D101:D103"/>
    <mergeCell ref="H101:I101"/>
    <mergeCell ref="J101:K101"/>
    <mergeCell ref="BQ90:BR90"/>
    <mergeCell ref="BQ91:BR91"/>
    <mergeCell ref="BQ92:BR92"/>
    <mergeCell ref="BQ93:BR93"/>
    <mergeCell ref="BQ94:BR94"/>
    <mergeCell ref="BQ95:BR95"/>
    <mergeCell ref="B5:B44"/>
    <mergeCell ref="D5:D24"/>
    <mergeCell ref="D25:D44"/>
    <mergeCell ref="B45:B84"/>
    <mergeCell ref="BQ88:BR88"/>
    <mergeCell ref="BQ89:BR89"/>
    <mergeCell ref="AX2:AY2"/>
    <mergeCell ref="AZ2:BA2"/>
    <mergeCell ref="BB2:BC2"/>
    <mergeCell ref="BD2:BE2"/>
    <mergeCell ref="BF2:BG2"/>
    <mergeCell ref="BH2:BI2"/>
    <mergeCell ref="AL2:AM2"/>
    <mergeCell ref="AN2:AO2"/>
    <mergeCell ref="AP2:AQ2"/>
    <mergeCell ref="AR2:AS2"/>
    <mergeCell ref="AT2:AU2"/>
    <mergeCell ref="AV2:AW2"/>
    <mergeCell ref="Z2:AA2"/>
    <mergeCell ref="AB2:AC2"/>
    <mergeCell ref="AD2:AE2"/>
    <mergeCell ref="AF2:AG2"/>
    <mergeCell ref="AH2:AI2"/>
    <mergeCell ref="AJ2:AK2"/>
    <mergeCell ref="N2:O2"/>
    <mergeCell ref="P2:Q2"/>
    <mergeCell ref="R2:S2"/>
    <mergeCell ref="T2:U2"/>
    <mergeCell ref="V2:W2"/>
    <mergeCell ref="X2:Y2"/>
    <mergeCell ref="B2:B4"/>
    <mergeCell ref="C2:C4"/>
    <mergeCell ref="D2:D4"/>
    <mergeCell ref="H2:I2"/>
    <mergeCell ref="J2:K2"/>
    <mergeCell ref="L2:M2"/>
    <mergeCell ref="E3:E4"/>
  </mergeCells>
  <dataValidations count="1">
    <dataValidation type="list" allowBlank="1" showInputMessage="1" showErrorMessage="1" sqref="F185" xr:uid="{05655A2A-9DA4-486B-88B9-2566E6B98905}">
      <formula1>$BO$89:$BO$116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C419-0155-467B-B9BC-8420B58AC98E}">
  <dimension ref="B3:U35"/>
  <sheetViews>
    <sheetView workbookViewId="0">
      <selection activeCell="F11" sqref="F11"/>
    </sheetView>
  </sheetViews>
  <sheetFormatPr defaultRowHeight="14.4" x14ac:dyDescent="0.3"/>
  <cols>
    <col min="3" max="3" width="27.6640625" bestFit="1" customWidth="1"/>
    <col min="5" max="5" width="5.44140625" customWidth="1"/>
    <col min="6" max="6" width="5.5546875" bestFit="1" customWidth="1"/>
    <col min="8" max="8" width="10.33203125" bestFit="1" customWidth="1"/>
    <col min="9" max="9" width="10.33203125" customWidth="1"/>
    <col min="11" max="11" width="14" bestFit="1" customWidth="1"/>
    <col min="12" max="12" width="9.5546875" bestFit="1" customWidth="1"/>
    <col min="14" max="14" width="13.88671875" bestFit="1" customWidth="1"/>
    <col min="15" max="15" width="13.88671875" customWidth="1"/>
    <col min="17" max="17" width="13.33203125" bestFit="1" customWidth="1"/>
    <col min="20" max="21" width="22.109375" bestFit="1" customWidth="1"/>
  </cols>
  <sheetData>
    <row r="3" spans="2:21" x14ac:dyDescent="0.3">
      <c r="C3" t="s">
        <v>65</v>
      </c>
    </row>
    <row r="5" spans="2:21" x14ac:dyDescent="0.3">
      <c r="B5" s="63" t="s">
        <v>66</v>
      </c>
      <c r="C5" s="63" t="s">
        <v>67</v>
      </c>
      <c r="D5" s="64" t="s">
        <v>68</v>
      </c>
      <c r="E5" s="63" t="s">
        <v>69</v>
      </c>
      <c r="F5" s="63" t="s">
        <v>55</v>
      </c>
      <c r="G5" s="63" t="s">
        <v>70</v>
      </c>
      <c r="H5" s="63" t="s">
        <v>71</v>
      </c>
      <c r="I5" s="63" t="s">
        <v>72</v>
      </c>
      <c r="J5" s="63" t="s">
        <v>73</v>
      </c>
      <c r="K5" s="63" t="s">
        <v>74</v>
      </c>
      <c r="L5" s="63" t="s">
        <v>75</v>
      </c>
      <c r="M5" s="63" t="s">
        <v>76</v>
      </c>
      <c r="N5" s="63" t="s">
        <v>77</v>
      </c>
      <c r="O5" s="63" t="s">
        <v>78</v>
      </c>
      <c r="P5" s="63" t="s">
        <v>79</v>
      </c>
      <c r="Q5" s="63" t="s">
        <v>80</v>
      </c>
      <c r="R5" s="65"/>
      <c r="S5" s="63" t="s">
        <v>39</v>
      </c>
      <c r="T5" s="63" t="s">
        <v>81</v>
      </c>
      <c r="U5" s="63" t="s">
        <v>82</v>
      </c>
    </row>
    <row r="6" spans="2:21" x14ac:dyDescent="0.3">
      <c r="B6" s="63"/>
      <c r="C6" s="14"/>
      <c r="D6" s="14"/>
      <c r="E6" s="14"/>
      <c r="F6" s="14">
        <v>0.38</v>
      </c>
      <c r="G6" s="14"/>
      <c r="H6" s="14"/>
      <c r="I6" s="14">
        <v>37.799999999999997</v>
      </c>
      <c r="J6" s="14"/>
      <c r="K6" s="14"/>
      <c r="L6" s="14"/>
      <c r="M6" s="14"/>
      <c r="N6" s="14"/>
      <c r="O6" s="14">
        <v>19400</v>
      </c>
      <c r="P6" s="14"/>
      <c r="Q6" s="14"/>
      <c r="R6" s="65"/>
      <c r="S6" s="14"/>
      <c r="T6" s="14"/>
      <c r="U6" s="14"/>
    </row>
    <row r="7" spans="2:21" x14ac:dyDescent="0.3">
      <c r="B7" s="63">
        <v>1</v>
      </c>
      <c r="C7" s="14">
        <f>28/B7</f>
        <v>28</v>
      </c>
      <c r="D7" s="66">
        <f>SQRT(C7)</f>
        <v>5.2915026221291814</v>
      </c>
      <c r="E7" s="66">
        <f>1-D7</f>
        <v>-4.2915026221291814</v>
      </c>
      <c r="F7" s="14"/>
      <c r="G7" s="67">
        <f t="shared" ref="G7:G34" si="0">$F$6*E7</f>
        <v>-1.6307709964090891</v>
      </c>
      <c r="H7" s="67">
        <f>EXP(G7)</f>
        <v>0.19577857134760357</v>
      </c>
      <c r="I7" s="67"/>
      <c r="J7" s="67">
        <f t="shared" ref="J7:J34" si="1">$I$6*H7</f>
        <v>7.4004299969394145</v>
      </c>
      <c r="K7" s="67">
        <f t="shared" ref="K7:K34" si="2">J7^(2/3)</f>
        <v>3.797559932579361</v>
      </c>
      <c r="L7" s="67">
        <f>0.378*K7</f>
        <v>1.4354776545149985</v>
      </c>
      <c r="M7" s="67">
        <f t="shared" ref="M7:M34" si="3">J7/10</f>
        <v>0.74004299969394149</v>
      </c>
      <c r="N7" s="67">
        <f>M7^(1/3)</f>
        <v>0.90452168886235762</v>
      </c>
      <c r="O7" s="14"/>
      <c r="P7" s="14">
        <f t="shared" ref="P7:P34" si="4">$O$6*N7</f>
        <v>17547.720763929738</v>
      </c>
      <c r="Q7" s="14">
        <v>18</v>
      </c>
      <c r="R7" s="65"/>
      <c r="S7" s="63">
        <f>B7</f>
        <v>1</v>
      </c>
      <c r="T7" s="67">
        <f>MAX('[1]two lifts'!G124:G143)</f>
        <v>0.30600696306685238</v>
      </c>
      <c r="U7" s="67" t="s">
        <v>83</v>
      </c>
    </row>
    <row r="8" spans="2:21" x14ac:dyDescent="0.3">
      <c r="B8" s="63">
        <v>2</v>
      </c>
      <c r="C8" s="14">
        <f t="shared" ref="C8:C34" si="5">28/B8</f>
        <v>14</v>
      </c>
      <c r="D8" s="66">
        <f t="shared" ref="D8:D34" si="6">SQRT(C8)</f>
        <v>3.7416573867739413</v>
      </c>
      <c r="E8" s="66">
        <f t="shared" ref="E8:E34" si="7">1-D8</f>
        <v>-2.7416573867739413</v>
      </c>
      <c r="F8" s="14"/>
      <c r="G8" s="67">
        <f t="shared" si="0"/>
        <v>-1.0418298069740977</v>
      </c>
      <c r="H8" s="67">
        <f t="shared" ref="H8:H34" si="8">EXP(G8)</f>
        <v>0.35280851947330538</v>
      </c>
      <c r="I8" s="67"/>
      <c r="J8" s="67">
        <f t="shared" si="1"/>
        <v>13.336162036090942</v>
      </c>
      <c r="K8" s="67">
        <f t="shared" si="2"/>
        <v>5.6236796806631419</v>
      </c>
      <c r="L8" s="67">
        <f t="shared" ref="L8:L34" si="9">0.378*K8</f>
        <v>2.1257509192906676</v>
      </c>
      <c r="M8" s="67">
        <f t="shared" si="3"/>
        <v>1.3336162036090942</v>
      </c>
      <c r="N8" s="67">
        <f t="shared" ref="N8:N34" si="10">M8^(1/3)</f>
        <v>1.1007202455505258</v>
      </c>
      <c r="O8" s="14"/>
      <c r="P8" s="14">
        <f t="shared" si="4"/>
        <v>21353.972763680202</v>
      </c>
      <c r="Q8" s="14">
        <v>18</v>
      </c>
      <c r="R8" s="65"/>
      <c r="S8" s="63">
        <f t="shared" ref="S8:S34" si="11">B8</f>
        <v>2</v>
      </c>
      <c r="T8" s="67">
        <f>MAX('[1]two lifts'!I124:I143)</f>
        <v>0.524545759587284</v>
      </c>
      <c r="U8" s="67" t="s">
        <v>83</v>
      </c>
    </row>
    <row r="9" spans="2:21" x14ac:dyDescent="0.3">
      <c r="B9" s="63">
        <v>3</v>
      </c>
      <c r="C9" s="66">
        <f t="shared" si="5"/>
        <v>9.3333333333333339</v>
      </c>
      <c r="D9" s="66">
        <f t="shared" si="6"/>
        <v>3.0550504633038935</v>
      </c>
      <c r="E9" s="66">
        <f t="shared" si="7"/>
        <v>-2.0550504633038935</v>
      </c>
      <c r="F9" s="14"/>
      <c r="G9" s="67">
        <f t="shared" si="0"/>
        <v>-0.78091917605547956</v>
      </c>
      <c r="H9" s="67">
        <f t="shared" si="8"/>
        <v>0.45798484906671921</v>
      </c>
      <c r="I9" s="67"/>
      <c r="J9" s="67">
        <f t="shared" si="1"/>
        <v>17.311827294721986</v>
      </c>
      <c r="K9" s="67">
        <f t="shared" si="2"/>
        <v>6.6920925817086463</v>
      </c>
      <c r="L9" s="67">
        <f t="shared" si="9"/>
        <v>2.5296109958858684</v>
      </c>
      <c r="M9" s="67">
        <f t="shared" si="3"/>
        <v>1.7311827294721986</v>
      </c>
      <c r="N9" s="67">
        <f t="shared" si="10"/>
        <v>1.2007362910705304</v>
      </c>
      <c r="O9" s="14"/>
      <c r="P9" s="14">
        <f t="shared" si="4"/>
        <v>23294.284046768291</v>
      </c>
      <c r="Q9" s="14">
        <v>18</v>
      </c>
      <c r="R9" s="65"/>
      <c r="S9" s="63">
        <f t="shared" si="11"/>
        <v>3</v>
      </c>
      <c r="T9" s="67">
        <f>MAX('[1]two lifts'!K124:K143)</f>
        <v>0.56859267500512944</v>
      </c>
      <c r="U9" s="67">
        <f>MAX('[1]two lifts'!K104:K123)</f>
        <v>0.30600696306685238</v>
      </c>
    </row>
    <row r="10" spans="2:21" x14ac:dyDescent="0.3">
      <c r="B10" s="63">
        <v>4</v>
      </c>
      <c r="C10" s="14">
        <f t="shared" si="5"/>
        <v>7</v>
      </c>
      <c r="D10" s="66">
        <f t="shared" si="6"/>
        <v>2.6457513110645907</v>
      </c>
      <c r="E10" s="66">
        <f t="shared" si="7"/>
        <v>-1.6457513110645907</v>
      </c>
      <c r="F10" s="14"/>
      <c r="G10" s="67">
        <f t="shared" si="0"/>
        <v>-0.62538549820454448</v>
      </c>
      <c r="H10" s="67">
        <f>EXP(G10)</f>
        <v>0.53505512596652094</v>
      </c>
      <c r="I10" s="67"/>
      <c r="J10" s="67">
        <f t="shared" si="1"/>
        <v>20.225083761534489</v>
      </c>
      <c r="K10" s="67">
        <f t="shared" si="2"/>
        <v>7.4232408664900404</v>
      </c>
      <c r="L10" s="67">
        <f t="shared" si="9"/>
        <v>2.8059850475332353</v>
      </c>
      <c r="M10" s="67">
        <f t="shared" si="3"/>
        <v>2.022508376153449</v>
      </c>
      <c r="N10" s="67">
        <f t="shared" si="10"/>
        <v>1.2646298919141714</v>
      </c>
      <c r="O10" s="14"/>
      <c r="P10" s="14">
        <f t="shared" si="4"/>
        <v>24533.819903134925</v>
      </c>
      <c r="Q10" s="14">
        <v>18</v>
      </c>
      <c r="R10" s="65"/>
      <c r="S10" s="63">
        <f t="shared" si="11"/>
        <v>4</v>
      </c>
      <c r="T10" s="67">
        <f>MAX('[1]two lifts'!M124:M143)</f>
        <v>0.7451824671940751</v>
      </c>
      <c r="U10" s="67">
        <f>MAX('[1]two lifts'!M104:M123)</f>
        <v>0.524545759587284</v>
      </c>
    </row>
    <row r="11" spans="2:21" x14ac:dyDescent="0.3">
      <c r="B11" s="63">
        <v>5</v>
      </c>
      <c r="C11" s="14">
        <f t="shared" si="5"/>
        <v>5.6</v>
      </c>
      <c r="D11" s="66">
        <f t="shared" si="6"/>
        <v>2.3664319132398464</v>
      </c>
      <c r="E11" s="66">
        <f t="shared" si="7"/>
        <v>-1.3664319132398464</v>
      </c>
      <c r="F11" s="14"/>
      <c r="G11" s="67">
        <f t="shared" si="0"/>
        <v>-0.51924412703114164</v>
      </c>
      <c r="H11" s="67">
        <f t="shared" si="8"/>
        <v>0.5949700998624935</v>
      </c>
      <c r="I11" s="67"/>
      <c r="J11" s="67">
        <f t="shared" si="1"/>
        <v>22.489869774802251</v>
      </c>
      <c r="K11" s="67">
        <f t="shared" si="2"/>
        <v>7.9675468736328527</v>
      </c>
      <c r="L11" s="67">
        <f t="shared" si="9"/>
        <v>3.0117327182332185</v>
      </c>
      <c r="M11" s="67">
        <f t="shared" si="3"/>
        <v>2.2489869774802251</v>
      </c>
      <c r="N11" s="67">
        <f t="shared" si="10"/>
        <v>1.3101740105424815</v>
      </c>
      <c r="O11" s="14"/>
      <c r="P11" s="14">
        <f t="shared" si="4"/>
        <v>25417.375804524141</v>
      </c>
      <c r="Q11" s="14">
        <v>18</v>
      </c>
      <c r="R11" s="65"/>
      <c r="S11" s="63">
        <f t="shared" si="11"/>
        <v>5</v>
      </c>
      <c r="T11" s="67">
        <f>MAX('[1]two lifts'!O124:O143)</f>
        <v>0.96848482157805238</v>
      </c>
      <c r="U11" s="67">
        <f>MAX('[1]two lifts'!O104:O123)</f>
        <v>0.82359036223166704</v>
      </c>
    </row>
    <row r="12" spans="2:21" x14ac:dyDescent="0.3">
      <c r="B12" s="63">
        <v>6</v>
      </c>
      <c r="C12" s="16">
        <f t="shared" si="5"/>
        <v>4.666666666666667</v>
      </c>
      <c r="D12" s="66">
        <f t="shared" si="6"/>
        <v>2.1602468994692869</v>
      </c>
      <c r="E12" s="66">
        <f t="shared" si="7"/>
        <v>-1.1602468994692869</v>
      </c>
      <c r="F12" s="14"/>
      <c r="G12" s="67">
        <f t="shared" si="0"/>
        <v>-0.44089382179832903</v>
      </c>
      <c r="H12" s="67">
        <f t="shared" si="8"/>
        <v>0.64346102448038045</v>
      </c>
      <c r="I12" s="67"/>
      <c r="J12" s="67">
        <f t="shared" si="1"/>
        <v>24.322826725358379</v>
      </c>
      <c r="K12" s="67">
        <f t="shared" si="2"/>
        <v>8.3947808655611951</v>
      </c>
      <c r="L12" s="67">
        <f t="shared" si="9"/>
        <v>3.1732271671821319</v>
      </c>
      <c r="M12" s="67">
        <f t="shared" si="3"/>
        <v>2.432282672535838</v>
      </c>
      <c r="N12" s="67">
        <f t="shared" si="10"/>
        <v>1.3448422625713738</v>
      </c>
      <c r="O12" s="14"/>
      <c r="P12" s="14">
        <f t="shared" si="4"/>
        <v>26089.939893884653</v>
      </c>
      <c r="Q12" s="14">
        <v>18</v>
      </c>
      <c r="R12" s="65"/>
      <c r="S12" s="63">
        <f t="shared" si="11"/>
        <v>6</v>
      </c>
      <c r="T12" s="67">
        <f>MAX('[1]two lifts'!Q124:Q143)</f>
        <v>1.0777714758949881</v>
      </c>
      <c r="U12" s="67">
        <f>MAX('[1]two lifts'!Q104:Q123)</f>
        <v>0.91045193296010585</v>
      </c>
    </row>
    <row r="13" spans="2:21" x14ac:dyDescent="0.3">
      <c r="B13" s="63">
        <v>7</v>
      </c>
      <c r="C13" s="14">
        <f t="shared" si="5"/>
        <v>4</v>
      </c>
      <c r="D13" s="66">
        <f t="shared" si="6"/>
        <v>2</v>
      </c>
      <c r="E13" s="66">
        <f t="shared" si="7"/>
        <v>-1</v>
      </c>
      <c r="F13" s="14"/>
      <c r="G13" s="67">
        <f t="shared" si="0"/>
        <v>-0.38</v>
      </c>
      <c r="H13" s="67">
        <f t="shared" si="8"/>
        <v>0.68386140921235583</v>
      </c>
      <c r="I13" s="67"/>
      <c r="J13" s="67">
        <f t="shared" si="1"/>
        <v>25.849961268227048</v>
      </c>
      <c r="K13" s="67">
        <f t="shared" si="2"/>
        <v>8.7425863628773985</v>
      </c>
      <c r="L13" s="67">
        <f t="shared" si="9"/>
        <v>3.3046976451676566</v>
      </c>
      <c r="M13" s="67">
        <f t="shared" si="3"/>
        <v>2.5849961268227046</v>
      </c>
      <c r="N13" s="67">
        <f t="shared" si="10"/>
        <v>1.3724187167472888</v>
      </c>
      <c r="O13" s="14"/>
      <c r="P13" s="14">
        <f t="shared" si="4"/>
        <v>26624.923104897403</v>
      </c>
      <c r="Q13" s="14">
        <v>18</v>
      </c>
      <c r="R13" s="65"/>
      <c r="S13" s="63">
        <f t="shared" si="11"/>
        <v>7</v>
      </c>
      <c r="T13" s="67">
        <f>MAX('[1]two lifts'!S124:S143)</f>
        <v>1.1757606572343813</v>
      </c>
      <c r="U13" s="67">
        <f>MAX('[1]two lifts'!S104:S123)</f>
        <v>1.0144963076080498</v>
      </c>
    </row>
    <row r="14" spans="2:21" x14ac:dyDescent="0.3">
      <c r="B14" s="63">
        <v>8</v>
      </c>
      <c r="C14" s="14">
        <f t="shared" si="5"/>
        <v>3.5</v>
      </c>
      <c r="D14" s="66">
        <f t="shared" si="6"/>
        <v>1.8708286933869707</v>
      </c>
      <c r="E14" s="66">
        <f t="shared" si="7"/>
        <v>-0.87082869338697066</v>
      </c>
      <c r="F14" s="14"/>
      <c r="G14" s="67">
        <f t="shared" si="0"/>
        <v>-0.33091490348704888</v>
      </c>
      <c r="H14" s="67">
        <f t="shared" si="8"/>
        <v>0.71826628839652429</v>
      </c>
      <c r="I14" s="67"/>
      <c r="J14" s="67">
        <f t="shared" si="1"/>
        <v>27.150465701388615</v>
      </c>
      <c r="K14" s="67">
        <f t="shared" si="2"/>
        <v>9.0334058430598869</v>
      </c>
      <c r="L14" s="67">
        <f t="shared" si="9"/>
        <v>3.4146274086766373</v>
      </c>
      <c r="M14" s="67">
        <f t="shared" si="3"/>
        <v>2.7150465701388615</v>
      </c>
      <c r="N14" s="67">
        <f t="shared" si="10"/>
        <v>1.3950585262785549</v>
      </c>
      <c r="O14" s="14"/>
      <c r="P14" s="14">
        <f t="shared" si="4"/>
        <v>27064.135409803963</v>
      </c>
      <c r="Q14" s="14">
        <v>18</v>
      </c>
      <c r="R14" s="65"/>
      <c r="S14" s="63">
        <f t="shared" si="11"/>
        <v>8</v>
      </c>
      <c r="T14" s="67">
        <f>MAX('[1]two lifts'!U124:U143)</f>
        <v>1.2337268364675305</v>
      </c>
      <c r="U14" s="67">
        <f>MAX('[1]two lifts'!U104:U123)</f>
        <v>1.1180153454965713</v>
      </c>
    </row>
    <row r="15" spans="2:21" x14ac:dyDescent="0.3">
      <c r="B15" s="63">
        <v>9</v>
      </c>
      <c r="C15" s="66">
        <f t="shared" si="5"/>
        <v>3.1111111111111112</v>
      </c>
      <c r="D15" s="66">
        <f t="shared" si="6"/>
        <v>1.7638342073763937</v>
      </c>
      <c r="E15" s="66">
        <f t="shared" si="7"/>
        <v>-0.76383420737639374</v>
      </c>
      <c r="F15" s="14"/>
      <c r="G15" s="67">
        <f t="shared" si="0"/>
        <v>-0.29025699880302963</v>
      </c>
      <c r="H15" s="67">
        <f t="shared" si="8"/>
        <v>0.74807128944603007</v>
      </c>
      <c r="I15" s="67"/>
      <c r="J15" s="67">
        <f t="shared" si="1"/>
        <v>28.277094741059933</v>
      </c>
      <c r="K15" s="67">
        <f t="shared" si="2"/>
        <v>9.2816073338778118</v>
      </c>
      <c r="L15" s="67">
        <f t="shared" si="9"/>
        <v>3.5084475722058128</v>
      </c>
      <c r="M15" s="67">
        <f t="shared" si="3"/>
        <v>2.8277094741059932</v>
      </c>
      <c r="N15" s="67">
        <f t="shared" si="10"/>
        <v>1.4140939438156399</v>
      </c>
      <c r="O15" s="14"/>
      <c r="P15" s="14">
        <f t="shared" si="4"/>
        <v>27433.422510023414</v>
      </c>
      <c r="Q15" s="14">
        <v>18</v>
      </c>
      <c r="R15" s="65"/>
      <c r="S15" s="63">
        <f t="shared" si="11"/>
        <v>9</v>
      </c>
      <c r="T15" s="67">
        <f>MAX('[1]two lifts'!W124:W143)</f>
        <v>1.2994318850280002</v>
      </c>
      <c r="U15" s="67">
        <f>MAX('[1]two lifts'!W104:W123)</f>
        <v>1.2114641140368427</v>
      </c>
    </row>
    <row r="16" spans="2:21" x14ac:dyDescent="0.3">
      <c r="B16" s="63">
        <v>10</v>
      </c>
      <c r="C16" s="14">
        <f t="shared" si="5"/>
        <v>2.8</v>
      </c>
      <c r="D16" s="66">
        <f t="shared" si="6"/>
        <v>1.6733200530681511</v>
      </c>
      <c r="E16" s="66">
        <f t="shared" si="7"/>
        <v>-0.67332005306815113</v>
      </c>
      <c r="F16" s="14"/>
      <c r="G16" s="67">
        <f t="shared" si="0"/>
        <v>-0.25586162016589742</v>
      </c>
      <c r="H16" s="67">
        <f t="shared" si="8"/>
        <v>0.7742491018418175</v>
      </c>
      <c r="I16" s="67"/>
      <c r="J16" s="67">
        <f t="shared" si="1"/>
        <v>29.266616049620698</v>
      </c>
      <c r="K16" s="67">
        <f t="shared" si="2"/>
        <v>9.4968958094177314</v>
      </c>
      <c r="L16" s="67">
        <f t="shared" si="9"/>
        <v>3.5898266159599026</v>
      </c>
      <c r="M16" s="67">
        <f t="shared" si="3"/>
        <v>2.92666160496207</v>
      </c>
      <c r="N16" s="67">
        <f t="shared" si="10"/>
        <v>1.4304000062719515</v>
      </c>
      <c r="O16" s="14"/>
      <c r="P16" s="14">
        <f t="shared" si="4"/>
        <v>27749.760121675859</v>
      </c>
      <c r="Q16" s="14">
        <v>18</v>
      </c>
      <c r="R16" s="65"/>
      <c r="S16" s="63">
        <f t="shared" si="11"/>
        <v>10</v>
      </c>
      <c r="T16" s="67">
        <f>MAX('[1]two lifts'!Y124:Y143)</f>
        <v>1.3530944175094961</v>
      </c>
      <c r="U16" s="67">
        <f>MAX('[1]two lifts'!Y104:Y123)</f>
        <v>1.2649812472947559</v>
      </c>
    </row>
    <row r="17" spans="2:21" x14ac:dyDescent="0.3">
      <c r="B17" s="63">
        <v>11</v>
      </c>
      <c r="C17" s="66">
        <f t="shared" si="5"/>
        <v>2.5454545454545454</v>
      </c>
      <c r="D17" s="66">
        <f t="shared" si="6"/>
        <v>1.5954480704349312</v>
      </c>
      <c r="E17" s="66">
        <f t="shared" si="7"/>
        <v>-0.5954480704349312</v>
      </c>
      <c r="F17" s="14"/>
      <c r="G17" s="67">
        <f t="shared" si="0"/>
        <v>-0.22627026676527387</v>
      </c>
      <c r="H17" s="67">
        <f t="shared" si="8"/>
        <v>0.79750253410642236</v>
      </c>
      <c r="I17" s="67"/>
      <c r="J17" s="67">
        <f t="shared" si="1"/>
        <v>30.145595789222764</v>
      </c>
      <c r="K17" s="67">
        <f t="shared" si="2"/>
        <v>9.6861066750154627</v>
      </c>
      <c r="L17" s="67">
        <f t="shared" si="9"/>
        <v>3.661348323155845</v>
      </c>
      <c r="M17" s="67">
        <f t="shared" si="3"/>
        <v>3.0145595789222766</v>
      </c>
      <c r="N17" s="67">
        <f t="shared" si="10"/>
        <v>1.4445789778341196</v>
      </c>
      <c r="O17" s="14"/>
      <c r="P17" s="14">
        <f t="shared" si="4"/>
        <v>28024.832169981921</v>
      </c>
      <c r="Q17" s="14">
        <v>18</v>
      </c>
      <c r="R17" s="65"/>
      <c r="S17" s="63">
        <f t="shared" si="11"/>
        <v>11</v>
      </c>
      <c r="T17" s="67">
        <f>MAX('[1]two lifts'!AA124:AA143)</f>
        <v>1.3854043104589271</v>
      </c>
      <c r="U17" s="67">
        <f>MAX('[1]two lifts'!AA104:AA123)</f>
        <v>1.3274450346444167</v>
      </c>
    </row>
    <row r="18" spans="2:21" x14ac:dyDescent="0.3">
      <c r="B18" s="63">
        <v>12</v>
      </c>
      <c r="C18" s="66">
        <f t="shared" si="5"/>
        <v>2.3333333333333335</v>
      </c>
      <c r="D18" s="66">
        <f t="shared" si="6"/>
        <v>1.5275252316519468</v>
      </c>
      <c r="E18" s="66">
        <f t="shared" si="7"/>
        <v>-0.52752523165194676</v>
      </c>
      <c r="F18" s="14"/>
      <c r="G18" s="67">
        <f t="shared" si="0"/>
        <v>-0.20045958802773978</v>
      </c>
      <c r="H18" s="67">
        <f t="shared" si="8"/>
        <v>0.81835456067930779</v>
      </c>
      <c r="I18" s="67"/>
      <c r="J18" s="67">
        <f t="shared" si="1"/>
        <v>30.933802393677833</v>
      </c>
      <c r="K18" s="67">
        <f t="shared" si="2"/>
        <v>9.8542188822061547</v>
      </c>
      <c r="L18" s="67">
        <f t="shared" si="9"/>
        <v>3.7248947374739263</v>
      </c>
      <c r="M18" s="67">
        <f t="shared" si="3"/>
        <v>3.0933802393677832</v>
      </c>
      <c r="N18" s="67">
        <f t="shared" si="10"/>
        <v>1.4570611175579475</v>
      </c>
      <c r="O18" s="14"/>
      <c r="P18" s="14">
        <f t="shared" si="4"/>
        <v>28266.985680624181</v>
      </c>
      <c r="Q18" s="14">
        <v>18</v>
      </c>
      <c r="R18" s="65"/>
      <c r="S18" s="63">
        <f t="shared" si="11"/>
        <v>12</v>
      </c>
      <c r="T18" s="67">
        <f>MAX('[1]two lifts'!AC124:AC143)</f>
        <v>1.4302195972372</v>
      </c>
      <c r="U18" s="67">
        <f>MAX('[1]two lifts'!AC104:AC123)</f>
        <v>1.3791997988776572</v>
      </c>
    </row>
    <row r="19" spans="2:21" x14ac:dyDescent="0.3">
      <c r="B19" s="63">
        <v>13</v>
      </c>
      <c r="C19" s="66">
        <f t="shared" si="5"/>
        <v>2.1538461538461537</v>
      </c>
      <c r="D19" s="66">
        <f t="shared" si="6"/>
        <v>1.4675987714106855</v>
      </c>
      <c r="E19" s="66">
        <f t="shared" si="7"/>
        <v>-0.46759877141068551</v>
      </c>
      <c r="F19" s="14"/>
      <c r="G19" s="67">
        <f t="shared" si="0"/>
        <v>-0.1776875331360605</v>
      </c>
      <c r="H19" s="67">
        <f t="shared" si="8"/>
        <v>0.83720398112505257</v>
      </c>
      <c r="I19" s="67"/>
      <c r="J19" s="67">
        <f t="shared" si="1"/>
        <v>31.646310486526986</v>
      </c>
      <c r="K19" s="67">
        <f t="shared" si="2"/>
        <v>10.00496076337463</v>
      </c>
      <c r="L19" s="67">
        <f t="shared" si="9"/>
        <v>3.7818751685556102</v>
      </c>
      <c r="M19" s="67">
        <f t="shared" si="3"/>
        <v>3.1646310486526987</v>
      </c>
      <c r="N19" s="67">
        <f t="shared" si="10"/>
        <v>1.468163292724014</v>
      </c>
      <c r="O19" s="14"/>
      <c r="P19" s="14">
        <f t="shared" si="4"/>
        <v>28482.367878845871</v>
      </c>
      <c r="Q19" s="14">
        <v>18</v>
      </c>
      <c r="R19" s="65"/>
      <c r="S19" s="63">
        <f t="shared" si="11"/>
        <v>13</v>
      </c>
      <c r="T19" s="67">
        <f>MAX('[1]two lifts'!AE124:AE143)</f>
        <v>1.4846968344902547</v>
      </c>
      <c r="U19" s="67">
        <f>MAX('[1]two lifts'!AE104:AE123)</f>
        <v>1.4097468890348235</v>
      </c>
    </row>
    <row r="20" spans="2:21" x14ac:dyDescent="0.3">
      <c r="B20" s="63">
        <v>14</v>
      </c>
      <c r="C20" s="14">
        <f t="shared" si="5"/>
        <v>2</v>
      </c>
      <c r="D20" s="66">
        <f t="shared" si="6"/>
        <v>1.4142135623730951</v>
      </c>
      <c r="E20" s="66">
        <f t="shared" si="7"/>
        <v>-0.41421356237309515</v>
      </c>
      <c r="F20" s="14"/>
      <c r="G20" s="67">
        <f t="shared" si="0"/>
        <v>-0.15740115370177615</v>
      </c>
      <c r="H20" s="67">
        <f t="shared" si="8"/>
        <v>0.85436125988269518</v>
      </c>
      <c r="I20" s="67"/>
      <c r="J20" s="67">
        <f t="shared" si="1"/>
        <v>32.294855623565873</v>
      </c>
      <c r="K20" s="67">
        <f t="shared" si="2"/>
        <v>10.141189503115118</v>
      </c>
      <c r="L20" s="67">
        <f t="shared" si="9"/>
        <v>3.8333696321775146</v>
      </c>
      <c r="M20" s="67">
        <f t="shared" si="3"/>
        <v>3.2294855623565875</v>
      </c>
      <c r="N20" s="67">
        <f t="shared" si="10"/>
        <v>1.4781248412667454</v>
      </c>
      <c r="O20" s="14"/>
      <c r="P20" s="14">
        <f t="shared" si="4"/>
        <v>28675.62192057486</v>
      </c>
      <c r="Q20" s="14">
        <v>18</v>
      </c>
      <c r="R20" s="65"/>
      <c r="S20" s="63">
        <f t="shared" si="11"/>
        <v>14</v>
      </c>
      <c r="T20" s="67">
        <f>MAX('[1]two lifts'!AG124:AG143)</f>
        <v>1.5622471903747051</v>
      </c>
      <c r="U20" s="67">
        <f>MAX('[1]two lifts'!AG104:AG123)</f>
        <v>1.4546367873048995</v>
      </c>
    </row>
    <row r="21" spans="2:21" x14ac:dyDescent="0.3">
      <c r="B21" s="63">
        <v>15</v>
      </c>
      <c r="C21" s="66">
        <f t="shared" si="5"/>
        <v>1.8666666666666667</v>
      </c>
      <c r="D21" s="66">
        <f t="shared" si="6"/>
        <v>1.3662601021279464</v>
      </c>
      <c r="E21" s="66">
        <f t="shared" si="7"/>
        <v>-0.36626010212794635</v>
      </c>
      <c r="F21" s="14"/>
      <c r="G21" s="67">
        <f t="shared" si="0"/>
        <v>-0.13917883880861961</v>
      </c>
      <c r="H21" s="67">
        <f t="shared" si="8"/>
        <v>0.87007241182997563</v>
      </c>
      <c r="I21" s="67"/>
      <c r="J21" s="67">
        <f t="shared" si="1"/>
        <v>32.888737167173076</v>
      </c>
      <c r="K21" s="67">
        <f t="shared" si="2"/>
        <v>10.265138154899741</v>
      </c>
      <c r="L21" s="67">
        <f t="shared" si="9"/>
        <v>3.8802222225521024</v>
      </c>
      <c r="M21" s="67">
        <f t="shared" si="3"/>
        <v>3.2888737167173074</v>
      </c>
      <c r="N21" s="67">
        <f t="shared" si="10"/>
        <v>1.4871304495196742</v>
      </c>
      <c r="O21" s="14"/>
      <c r="P21" s="14">
        <f t="shared" si="4"/>
        <v>28850.330720681679</v>
      </c>
      <c r="Q21" s="14">
        <v>18</v>
      </c>
      <c r="R21" s="65"/>
      <c r="S21" s="63">
        <f t="shared" si="11"/>
        <v>15</v>
      </c>
      <c r="T21" s="67">
        <f>MAX('[1]two lifts'!AI124:AI143)</f>
        <v>1.620347261636286</v>
      </c>
      <c r="U21" s="67">
        <f>MAX('[1]two lifts'!AI104:AI123)</f>
        <v>1.5091250093049839</v>
      </c>
    </row>
    <row r="22" spans="2:21" x14ac:dyDescent="0.3">
      <c r="B22" s="63">
        <v>16</v>
      </c>
      <c r="C22" s="66">
        <f t="shared" si="5"/>
        <v>1.75</v>
      </c>
      <c r="D22" s="66">
        <f t="shared" si="6"/>
        <v>1.3228756555322954</v>
      </c>
      <c r="E22" s="66">
        <f t="shared" si="7"/>
        <v>-0.32287565553229536</v>
      </c>
      <c r="F22" s="14"/>
      <c r="G22" s="67">
        <f t="shared" si="0"/>
        <v>-0.12269274910227224</v>
      </c>
      <c r="H22" s="67">
        <f t="shared" si="8"/>
        <v>0.88453539510786749</v>
      </c>
      <c r="I22" s="67"/>
      <c r="J22" s="67">
        <f t="shared" si="1"/>
        <v>33.435437935077388</v>
      </c>
      <c r="K22" s="67">
        <f t="shared" si="2"/>
        <v>10.378581752361599</v>
      </c>
      <c r="L22" s="67">
        <f t="shared" si="9"/>
        <v>3.9231039023926844</v>
      </c>
      <c r="M22" s="67">
        <f t="shared" si="3"/>
        <v>3.343543793507739</v>
      </c>
      <c r="N22" s="67">
        <f t="shared" si="10"/>
        <v>1.4953252676464652</v>
      </c>
      <c r="O22" s="14"/>
      <c r="P22" s="14">
        <f t="shared" si="4"/>
        <v>29009.310192341425</v>
      </c>
      <c r="Q22" s="14">
        <v>18</v>
      </c>
      <c r="R22" s="65"/>
      <c r="S22" s="63">
        <f t="shared" si="11"/>
        <v>16</v>
      </c>
      <c r="T22" s="67">
        <f>MAX('[1]two lifts'!AK124:AK143)</f>
        <v>1.6567107278795155</v>
      </c>
      <c r="U22" s="67">
        <f>MAX('[1]two lifts'!AK104:AK123)</f>
        <v>1.5885927304852874</v>
      </c>
    </row>
    <row r="23" spans="2:21" x14ac:dyDescent="0.3">
      <c r="B23" s="63">
        <v>17</v>
      </c>
      <c r="C23" s="66">
        <f t="shared" si="5"/>
        <v>1.6470588235294117</v>
      </c>
      <c r="D23" s="66">
        <f t="shared" si="6"/>
        <v>1.2833778958394957</v>
      </c>
      <c r="E23" s="66">
        <f t="shared" si="7"/>
        <v>-0.28337789583949569</v>
      </c>
      <c r="F23" s="14"/>
      <c r="G23" s="67">
        <f t="shared" si="0"/>
        <v>-0.10768360041900836</v>
      </c>
      <c r="H23" s="67">
        <f t="shared" si="8"/>
        <v>0.89791165036073461</v>
      </c>
      <c r="I23" s="67"/>
      <c r="J23" s="67">
        <f t="shared" si="1"/>
        <v>33.941060383635765</v>
      </c>
      <c r="K23" s="67">
        <f t="shared" si="2"/>
        <v>10.482952169680599</v>
      </c>
      <c r="L23" s="67">
        <f t="shared" si="9"/>
        <v>3.9625559201392666</v>
      </c>
      <c r="M23" s="67">
        <f t="shared" si="3"/>
        <v>3.3941060383635766</v>
      </c>
      <c r="N23" s="67">
        <f t="shared" si="10"/>
        <v>1.5028251996923956</v>
      </c>
      <c r="O23" s="14"/>
      <c r="P23" s="14">
        <f t="shared" si="4"/>
        <v>29154.808874032475</v>
      </c>
      <c r="Q23" s="14">
        <v>18</v>
      </c>
      <c r="R23" s="65"/>
      <c r="S23" s="63">
        <f t="shared" si="11"/>
        <v>17</v>
      </c>
      <c r="T23" s="67">
        <f>MAX('[1]two lifts'!AM124:AM143)</f>
        <v>1.6808330895382835</v>
      </c>
      <c r="U23" s="67">
        <f>MAX('[1]two lifts'!AM104:AM123)</f>
        <v>1.6480678120532555</v>
      </c>
    </row>
    <row r="24" spans="2:21" x14ac:dyDescent="0.3">
      <c r="B24" s="63">
        <v>18</v>
      </c>
      <c r="C24" s="66">
        <f t="shared" si="5"/>
        <v>1.5555555555555556</v>
      </c>
      <c r="D24" s="66">
        <f t="shared" si="6"/>
        <v>1.247219128924647</v>
      </c>
      <c r="E24" s="66">
        <f t="shared" si="7"/>
        <v>-0.24721912892464704</v>
      </c>
      <c r="F24" s="14"/>
      <c r="G24" s="67">
        <f t="shared" si="0"/>
        <v>-9.3943268991365875E-2</v>
      </c>
      <c r="H24" s="67">
        <f t="shared" si="8"/>
        <v>0.91033440496486917</v>
      </c>
      <c r="I24" s="67"/>
      <c r="J24" s="67">
        <f t="shared" si="1"/>
        <v>34.410640507672049</v>
      </c>
      <c r="K24" s="67">
        <f t="shared" si="2"/>
        <v>10.579419484195492</v>
      </c>
      <c r="L24" s="67">
        <f t="shared" si="9"/>
        <v>3.9990205650258961</v>
      </c>
      <c r="M24" s="67">
        <f t="shared" si="3"/>
        <v>3.441064050767205</v>
      </c>
      <c r="N24" s="67">
        <f t="shared" si="10"/>
        <v>1.5097240919171286</v>
      </c>
      <c r="O24" s="14"/>
      <c r="P24" s="14">
        <f t="shared" si="4"/>
        <v>29288.647383192296</v>
      </c>
      <c r="Q24" s="14">
        <v>18</v>
      </c>
      <c r="R24" s="65"/>
      <c r="S24" s="63">
        <f t="shared" si="11"/>
        <v>18</v>
      </c>
      <c r="T24" s="67">
        <f>MAX('[1]two lifts'!AO124:AO143)</f>
        <v>1.7174026033812018</v>
      </c>
      <c r="U24" s="67">
        <f>MAX('[1]two lifts'!AO104:AO123)</f>
        <v>1.6845786286605158</v>
      </c>
    </row>
    <row r="25" spans="2:21" x14ac:dyDescent="0.3">
      <c r="B25" s="63">
        <v>19</v>
      </c>
      <c r="C25" s="66">
        <f t="shared" si="5"/>
        <v>1.4736842105263157</v>
      </c>
      <c r="D25" s="66">
        <f t="shared" si="6"/>
        <v>1.2139539573337679</v>
      </c>
      <c r="E25" s="66">
        <f t="shared" si="7"/>
        <v>-0.21395395733376787</v>
      </c>
      <c r="F25" s="14"/>
      <c r="G25" s="67">
        <f t="shared" si="0"/>
        <v>-8.1302503786831792E-2</v>
      </c>
      <c r="H25" s="67">
        <f t="shared" si="8"/>
        <v>0.92191476655079896</v>
      </c>
      <c r="I25" s="67"/>
      <c r="J25" s="67">
        <f t="shared" si="1"/>
        <v>34.848378175620198</v>
      </c>
      <c r="K25" s="67">
        <f t="shared" si="2"/>
        <v>10.668950841093439</v>
      </c>
      <c r="L25" s="67">
        <f t="shared" si="9"/>
        <v>4.0328634179333198</v>
      </c>
      <c r="M25" s="67">
        <f t="shared" si="3"/>
        <v>3.4848378175620196</v>
      </c>
      <c r="N25" s="67">
        <f t="shared" si="10"/>
        <v>1.5160988687515253</v>
      </c>
      <c r="O25" s="14"/>
      <c r="P25" s="14">
        <f t="shared" si="4"/>
        <v>29412.318053779592</v>
      </c>
      <c r="Q25" s="14">
        <v>18</v>
      </c>
      <c r="R25" s="65"/>
      <c r="S25" s="63">
        <f t="shared" si="11"/>
        <v>19</v>
      </c>
      <c r="T25" s="67">
        <f>MAX('[1]two lifts'!AQ124:AQ143)</f>
        <v>1.7288481741545902</v>
      </c>
      <c r="U25" s="67">
        <f>MAX('[1]two lifts'!AQ104:AQ123)</f>
        <v>1.7123409836218995</v>
      </c>
    </row>
    <row r="26" spans="2:21" x14ac:dyDescent="0.3">
      <c r="B26" s="63">
        <v>20</v>
      </c>
      <c r="C26" s="14">
        <f t="shared" si="5"/>
        <v>1.4</v>
      </c>
      <c r="D26" s="66">
        <f t="shared" si="6"/>
        <v>1.1832159566199232</v>
      </c>
      <c r="E26" s="66">
        <f t="shared" si="7"/>
        <v>-0.18321595661992318</v>
      </c>
      <c r="F26" s="14"/>
      <c r="G26" s="67">
        <f t="shared" si="0"/>
        <v>-6.9622063515570806E-2</v>
      </c>
      <c r="H26" s="67">
        <f t="shared" si="8"/>
        <v>0.93274627214643213</v>
      </c>
      <c r="I26" s="67"/>
      <c r="J26" s="67">
        <f t="shared" si="1"/>
        <v>35.257809087135129</v>
      </c>
      <c r="K26" s="67">
        <f t="shared" si="2"/>
        <v>10.752353842951447</v>
      </c>
      <c r="L26" s="67">
        <f t="shared" si="9"/>
        <v>4.0643897526356465</v>
      </c>
      <c r="M26" s="67">
        <f t="shared" si="3"/>
        <v>3.525780908713513</v>
      </c>
      <c r="N26" s="67">
        <f t="shared" si="10"/>
        <v>1.5220132758538027</v>
      </c>
      <c r="O26" s="14"/>
      <c r="P26" s="14">
        <f t="shared" si="4"/>
        <v>29527.057551563772</v>
      </c>
      <c r="Q26" s="14">
        <v>18</v>
      </c>
      <c r="R26" s="65"/>
      <c r="S26" s="63">
        <f t="shared" si="11"/>
        <v>20</v>
      </c>
      <c r="T26" s="67">
        <f>MAX('[1]two lifts'!AS124:AS143)</f>
        <v>1.7441504132326526</v>
      </c>
      <c r="U26" s="67">
        <f>MAX('[1]two lifts'!AS104:AS123)</f>
        <v>1.7485009482310525</v>
      </c>
    </row>
    <row r="27" spans="2:21" x14ac:dyDescent="0.3">
      <c r="B27" s="63">
        <v>21</v>
      </c>
      <c r="C27" s="66">
        <f t="shared" si="5"/>
        <v>1.3333333333333333</v>
      </c>
      <c r="D27" s="66">
        <f t="shared" si="6"/>
        <v>1.1547005383792515</v>
      </c>
      <c r="E27" s="66">
        <f t="shared" si="7"/>
        <v>-0.15470053837925146</v>
      </c>
      <c r="F27" s="14"/>
      <c r="G27" s="67">
        <f t="shared" si="0"/>
        <v>-5.8786204584115556E-2</v>
      </c>
      <c r="H27" s="67">
        <f t="shared" si="8"/>
        <v>0.94290833708925093</v>
      </c>
      <c r="I27" s="67"/>
      <c r="J27" s="67">
        <f t="shared" si="1"/>
        <v>35.641935141973683</v>
      </c>
      <c r="K27" s="67">
        <f t="shared" si="2"/>
        <v>10.830309067499408</v>
      </c>
      <c r="L27" s="67">
        <f t="shared" si="9"/>
        <v>4.0938568275147764</v>
      </c>
      <c r="M27" s="67">
        <f t="shared" si="3"/>
        <v>3.5641935141973682</v>
      </c>
      <c r="N27" s="67">
        <f t="shared" si="10"/>
        <v>1.527520656449123</v>
      </c>
      <c r="O27" s="14"/>
      <c r="P27" s="14">
        <f t="shared" si="4"/>
        <v>29633.900735112988</v>
      </c>
      <c r="Q27" s="14">
        <v>18</v>
      </c>
      <c r="R27" s="65"/>
      <c r="S27" s="63">
        <f t="shared" si="11"/>
        <v>21</v>
      </c>
      <c r="T27" s="67">
        <f>MAX('[1]two lifts'!AU124:AU143)</f>
        <v>1.775834720320175</v>
      </c>
      <c r="U27" s="67">
        <f>MAX('[1]two lifts'!AU104:AU123)</f>
        <v>1.7636610358047358</v>
      </c>
    </row>
    <row r="28" spans="2:21" x14ac:dyDescent="0.3">
      <c r="B28" s="63">
        <v>22</v>
      </c>
      <c r="C28" s="66">
        <f t="shared" si="5"/>
        <v>1.2727272727272727</v>
      </c>
      <c r="D28" s="66">
        <f t="shared" si="6"/>
        <v>1.1281521496355325</v>
      </c>
      <c r="E28" s="66">
        <f t="shared" si="7"/>
        <v>-0.12815214963553245</v>
      </c>
      <c r="F28" s="14"/>
      <c r="G28" s="67">
        <f t="shared" si="0"/>
        <v>-4.8697816861502333E-2</v>
      </c>
      <c r="H28" s="67">
        <f t="shared" si="8"/>
        <v>0.95246890625911773</v>
      </c>
      <c r="I28" s="67"/>
      <c r="J28" s="67">
        <f t="shared" si="1"/>
        <v>36.00332465659465</v>
      </c>
      <c r="K28" s="67">
        <f t="shared" si="2"/>
        <v>10.903394802434923</v>
      </c>
      <c r="L28" s="67">
        <f t="shared" si="9"/>
        <v>4.121483235320401</v>
      </c>
      <c r="M28" s="67">
        <f t="shared" si="3"/>
        <v>3.6003324656594651</v>
      </c>
      <c r="N28" s="67">
        <f t="shared" si="10"/>
        <v>1.5326660432553183</v>
      </c>
      <c r="O28" s="14"/>
      <c r="P28" s="14">
        <f t="shared" si="4"/>
        <v>29733.721239153176</v>
      </c>
      <c r="Q28" s="14">
        <v>18</v>
      </c>
      <c r="R28" s="65"/>
      <c r="S28" s="63">
        <f t="shared" si="11"/>
        <v>22</v>
      </c>
      <c r="T28" s="67">
        <f>MAX('[1]two lifts'!AW124:AW143)</f>
        <v>1.7950506665895123</v>
      </c>
      <c r="U28" s="67">
        <f>MAX('[1]two lifts'!AW104:AW123)</f>
        <v>1.7791476119971983</v>
      </c>
    </row>
    <row r="29" spans="2:21" x14ac:dyDescent="0.3">
      <c r="B29" s="63">
        <v>23</v>
      </c>
      <c r="C29" s="16">
        <f t="shared" si="5"/>
        <v>1.2173913043478262</v>
      </c>
      <c r="D29" s="66">
        <f t="shared" si="6"/>
        <v>1.103354568734741</v>
      </c>
      <c r="E29" s="66">
        <f t="shared" si="7"/>
        <v>-0.10335456873474103</v>
      </c>
      <c r="F29" s="14"/>
      <c r="G29" s="67">
        <f t="shared" si="0"/>
        <v>-3.9274736119201591E-2</v>
      </c>
      <c r="H29" s="67">
        <f t="shared" si="8"/>
        <v>0.96148651778201333</v>
      </c>
      <c r="I29" s="67"/>
      <c r="J29" s="67">
        <f t="shared" si="1"/>
        <v>36.344190372160099</v>
      </c>
      <c r="K29" s="67">
        <f t="shared" si="2"/>
        <v>10.972106113602019</v>
      </c>
      <c r="L29" s="67">
        <f t="shared" si="9"/>
        <v>4.1474561109415626</v>
      </c>
      <c r="M29" s="67">
        <f t="shared" si="3"/>
        <v>3.6344190372160101</v>
      </c>
      <c r="N29" s="67">
        <f t="shared" si="10"/>
        <v>1.5374877571497962</v>
      </c>
      <c r="O29" s="14"/>
      <c r="P29" s="14">
        <f t="shared" si="4"/>
        <v>29827.262488706048</v>
      </c>
      <c r="Q29" s="14">
        <v>18</v>
      </c>
      <c r="R29" s="65"/>
      <c r="S29" s="63">
        <f t="shared" si="11"/>
        <v>23</v>
      </c>
      <c r="T29" s="67">
        <f>MAX('[1]two lifts'!AY124:AY143)</f>
        <v>1.812534183663508</v>
      </c>
      <c r="U29" s="67">
        <f>MAX('[1]two lifts'!AY104:AY123)</f>
        <v>1.8133064796686391</v>
      </c>
    </row>
    <row r="30" spans="2:21" x14ac:dyDescent="0.3">
      <c r="B30" s="63">
        <v>24</v>
      </c>
      <c r="C30" s="66">
        <f t="shared" si="5"/>
        <v>1.1666666666666667</v>
      </c>
      <c r="D30" s="66">
        <f t="shared" si="6"/>
        <v>1.0801234497346435</v>
      </c>
      <c r="E30" s="66">
        <f t="shared" si="7"/>
        <v>-8.012344973464347E-2</v>
      </c>
      <c r="F30" s="14"/>
      <c r="G30" s="67">
        <f t="shared" si="0"/>
        <v>-3.0446910899164518E-2</v>
      </c>
      <c r="H30" s="67">
        <f t="shared" si="8"/>
        <v>0.97001192776131295</v>
      </c>
      <c r="I30" s="67"/>
      <c r="J30" s="67">
        <f t="shared" si="1"/>
        <v>36.666450869377627</v>
      </c>
      <c r="K30" s="67">
        <f t="shared" si="2"/>
        <v>11.036869723996075</v>
      </c>
      <c r="L30" s="67">
        <f t="shared" si="9"/>
        <v>4.171936755670516</v>
      </c>
      <c r="M30" s="67">
        <f t="shared" si="3"/>
        <v>3.6666450869377627</v>
      </c>
      <c r="N30" s="67">
        <f t="shared" si="10"/>
        <v>1.5420186445935007</v>
      </c>
      <c r="O30" s="14"/>
      <c r="P30" s="14">
        <f t="shared" si="4"/>
        <v>29915.161705113915</v>
      </c>
      <c r="Q30" s="14">
        <v>18</v>
      </c>
      <c r="R30" s="65"/>
      <c r="S30" s="63">
        <f t="shared" si="11"/>
        <v>24</v>
      </c>
      <c r="T30" s="67">
        <f>MAX('[1]two lifts'!BA124:BA143)</f>
        <v>1.8230040017387097</v>
      </c>
      <c r="U30" s="67">
        <f>MAX('[1]two lifts'!BA104:BA123)</f>
        <v>1.8343659916310295</v>
      </c>
    </row>
    <row r="31" spans="2:21" x14ac:dyDescent="0.3">
      <c r="B31" s="63">
        <v>25</v>
      </c>
      <c r="C31" s="66">
        <f t="shared" si="5"/>
        <v>1.1200000000000001</v>
      </c>
      <c r="D31" s="66">
        <f t="shared" si="6"/>
        <v>1.0583005244258363</v>
      </c>
      <c r="E31" s="66">
        <f t="shared" si="7"/>
        <v>-5.8300524425836331E-2</v>
      </c>
      <c r="F31" s="14"/>
      <c r="G31" s="67">
        <f t="shared" si="0"/>
        <v>-2.2154199281817805E-2</v>
      </c>
      <c r="H31" s="67">
        <f t="shared" si="8"/>
        <v>0.97808940273893585</v>
      </c>
      <c r="I31" s="67"/>
      <c r="J31" s="67">
        <f t="shared" si="1"/>
        <v>36.971779423531771</v>
      </c>
      <c r="K31" s="67">
        <f t="shared" si="2"/>
        <v>11.098055752705102</v>
      </c>
      <c r="L31" s="67">
        <f t="shared" si="9"/>
        <v>4.1950650745225291</v>
      </c>
      <c r="M31" s="67">
        <f t="shared" si="3"/>
        <v>3.6971779423531772</v>
      </c>
      <c r="N31" s="67">
        <f t="shared" si="10"/>
        <v>1.546287046622838</v>
      </c>
      <c r="O31" s="14"/>
      <c r="P31" s="14">
        <f t="shared" si="4"/>
        <v>29997.968704483057</v>
      </c>
      <c r="Q31" s="14">
        <v>18</v>
      </c>
      <c r="R31" s="65"/>
      <c r="S31" s="63">
        <f t="shared" si="11"/>
        <v>25</v>
      </c>
      <c r="T31" s="67">
        <f>MAX('[1]two lifts'!BC124:BC143)</f>
        <v>1.8371782447854119</v>
      </c>
      <c r="U31" s="67">
        <f>MAX('[1]two lifts'!BC104:BC123)</f>
        <v>1.8528855500095196</v>
      </c>
    </row>
    <row r="32" spans="2:21" x14ac:dyDescent="0.3">
      <c r="B32" s="63">
        <v>26</v>
      </c>
      <c r="C32" s="66">
        <f t="shared" si="5"/>
        <v>1.0769230769230769</v>
      </c>
      <c r="D32" s="66">
        <f t="shared" si="6"/>
        <v>1.0377490433255416</v>
      </c>
      <c r="E32" s="66">
        <f t="shared" si="7"/>
        <v>-3.7749043325541631E-2</v>
      </c>
      <c r="F32" s="14"/>
      <c r="G32" s="67">
        <f t="shared" si="0"/>
        <v>-1.4344636463705819E-2</v>
      </c>
      <c r="H32" s="67">
        <f t="shared" si="8"/>
        <v>0.98575775764713014</v>
      </c>
      <c r="I32" s="67"/>
      <c r="J32" s="67">
        <f t="shared" si="1"/>
        <v>37.261643239061513</v>
      </c>
      <c r="K32" s="67">
        <f t="shared" si="2"/>
        <v>11.155987070307409</v>
      </c>
      <c r="L32" s="67">
        <f t="shared" si="9"/>
        <v>4.2169631125762006</v>
      </c>
      <c r="M32" s="67">
        <f t="shared" si="3"/>
        <v>3.7261643239061515</v>
      </c>
      <c r="N32" s="67">
        <f t="shared" si="10"/>
        <v>1.550317565720567</v>
      </c>
      <c r="O32" s="14"/>
      <c r="P32" s="14">
        <f t="shared" si="4"/>
        <v>30076.160774978998</v>
      </c>
      <c r="Q32" s="14">
        <v>18</v>
      </c>
      <c r="R32" s="65"/>
      <c r="S32" s="63">
        <f t="shared" si="11"/>
        <v>26</v>
      </c>
      <c r="T32" s="67">
        <f>MAX('[1]two lifts'!BE124:BE143)</f>
        <v>1.846504046878428</v>
      </c>
      <c r="U32" s="67">
        <f>MAX('[1]two lifts'!BE104:BE123)</f>
        <v>1.8665047228027505</v>
      </c>
    </row>
    <row r="33" spans="2:21" x14ac:dyDescent="0.3">
      <c r="B33" s="63">
        <v>27</v>
      </c>
      <c r="C33" s="66">
        <f t="shared" si="5"/>
        <v>1.037037037037037</v>
      </c>
      <c r="D33" s="66">
        <f t="shared" si="6"/>
        <v>1.0183501544346312</v>
      </c>
      <c r="E33" s="66">
        <f t="shared" si="7"/>
        <v>-1.8350154434631172E-2</v>
      </c>
      <c r="F33" s="14"/>
      <c r="G33" s="67">
        <f t="shared" si="0"/>
        <v>-6.9730586851598454E-3</v>
      </c>
      <c r="H33" s="67">
        <f t="shared" si="8"/>
        <v>0.99305119667778508</v>
      </c>
      <c r="I33" s="67"/>
      <c r="J33" s="67">
        <f t="shared" si="1"/>
        <v>37.537335234420276</v>
      </c>
      <c r="K33" s="67">
        <f t="shared" si="2"/>
        <v>11.21094682398533</v>
      </c>
      <c r="L33" s="67">
        <f t="shared" si="9"/>
        <v>4.2377378994664543</v>
      </c>
      <c r="M33" s="67">
        <f t="shared" si="3"/>
        <v>3.7537335234420275</v>
      </c>
      <c r="N33" s="67">
        <f t="shared" si="10"/>
        <v>1.5541316786455632</v>
      </c>
      <c r="O33" s="14"/>
      <c r="P33" s="14">
        <f t="shared" si="4"/>
        <v>30150.154565723926</v>
      </c>
      <c r="Q33" s="14">
        <v>18</v>
      </c>
      <c r="R33" s="65"/>
      <c r="S33" s="63">
        <f t="shared" si="11"/>
        <v>27</v>
      </c>
      <c r="T33" s="67">
        <f>MAX('[1]two lifts'!BG124:BG143)</f>
        <v>1.855195567160312</v>
      </c>
      <c r="U33" s="67">
        <f>MAX('[1]two lifts'!BG104:BG123)</f>
        <v>1.8803594704887969</v>
      </c>
    </row>
    <row r="34" spans="2:21" x14ac:dyDescent="0.3">
      <c r="B34" s="63">
        <v>28</v>
      </c>
      <c r="C34" s="14">
        <f t="shared" si="5"/>
        <v>1</v>
      </c>
      <c r="D34" s="66">
        <f t="shared" si="6"/>
        <v>1</v>
      </c>
      <c r="E34" s="66">
        <f t="shared" si="7"/>
        <v>0</v>
      </c>
      <c r="F34" s="14"/>
      <c r="G34" s="14">
        <f t="shared" si="0"/>
        <v>0</v>
      </c>
      <c r="H34" s="14">
        <f t="shared" si="8"/>
        <v>1</v>
      </c>
      <c r="I34" s="14"/>
      <c r="J34" s="14">
        <f t="shared" si="1"/>
        <v>37.799999999999997</v>
      </c>
      <c r="K34" s="67">
        <f t="shared" si="2"/>
        <v>11.26318454221675</v>
      </c>
      <c r="L34" s="67">
        <f t="shared" si="9"/>
        <v>4.2574837569579316</v>
      </c>
      <c r="M34" s="14">
        <f t="shared" si="3"/>
        <v>3.78</v>
      </c>
      <c r="N34" s="67">
        <f t="shared" si="10"/>
        <v>1.5577482305553312</v>
      </c>
      <c r="O34" s="14"/>
      <c r="P34" s="14">
        <f t="shared" si="4"/>
        <v>30220.315672773424</v>
      </c>
      <c r="Q34" s="14">
        <v>18</v>
      </c>
      <c r="R34" s="65"/>
      <c r="S34" s="63">
        <f t="shared" si="11"/>
        <v>28</v>
      </c>
      <c r="T34" s="67">
        <f>MAX('[1]two lifts'!BI124:BI143)</f>
        <v>1.8612925004664926</v>
      </c>
      <c r="U34" s="67">
        <f>MAX('[1]two lifts'!BI104:BI123)</f>
        <v>1.8915581565039545</v>
      </c>
    </row>
    <row r="35" spans="2:21" x14ac:dyDescent="0.3">
      <c r="S35" s="65"/>
      <c r="T35" s="65"/>
      <c r="U35" s="6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Placing Temp</vt:lpstr>
      <vt:lpstr>Adieabatic Temperature Rise</vt:lpstr>
      <vt:lpstr>Single lift</vt:lpstr>
      <vt:lpstr>Two lift</vt:lpstr>
      <vt:lpstr>Stress vs strain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Patel</dc:creator>
  <cp:lastModifiedBy>Dev Patel</cp:lastModifiedBy>
  <dcterms:created xsi:type="dcterms:W3CDTF">2026-05-26T17:56:38Z</dcterms:created>
  <dcterms:modified xsi:type="dcterms:W3CDTF">2026-05-26T18:02:14Z</dcterms:modified>
</cp:coreProperties>
</file>